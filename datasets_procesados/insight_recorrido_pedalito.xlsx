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Estaciones" sheetId="2" r:id="rId2"/>
    <sheet name="Horario x dia" sheetId="3" r:id="rId3"/>
    <sheet name="Finde vs semana" sheetId="4" r:id="rId4"/>
    <sheet name="Franjas" sheetId="5" r:id="rId5"/>
    <sheet name="Dias" sheetId="6" r:id="rId6"/>
    <sheet name="Meses" sheetId="7" r:id="rId7"/>
    <sheet name="Comunas" sheetId="8" r:id="rId8"/>
    <sheet name="Flujo entre comunas" sheetId="9" r:id="rId9"/>
    <sheet name="Corredores" sheetId="10" r:id="rId10"/>
    <sheet name="Usuarios" sheetId="11" r:id="rId11"/>
    <sheet name="Genero y bici" sheetId="12" r:id="rId12"/>
  </sheets>
  <definedNames>
    <definedName name="_xlnm._FilterDatabase" localSheetId="7" hidden="1">Comunas!$A$3:$F$7</definedName>
    <definedName name="_xlnm._FilterDatabase" localSheetId="9" hidden="1">Corredores!$A$3:$E$43</definedName>
    <definedName name="_xlnm._FilterDatabase" localSheetId="5" hidden="1">Dias!$A$3:$D$10</definedName>
    <definedName name="_xlnm._FilterDatabase" localSheetId="1" hidden="1">Estaciones!$A$3:$N$154</definedName>
    <definedName name="_xlnm._FilterDatabase" localSheetId="3" hidden="1">'Finde vs semana'!$A$3:$E$5</definedName>
    <definedName name="_xlnm._FilterDatabase" localSheetId="8" hidden="1">'Flujo entre comunas'!$A$3:$E$7</definedName>
    <definedName name="_xlnm._FilterDatabase" localSheetId="4" hidden="1">Franjas!$A$3:$E$8</definedName>
    <definedName name="_xlnm._FilterDatabase" localSheetId="11" hidden="1">'Genero y bici'!$A$3:$E$8</definedName>
    <definedName name="_xlnm._FilterDatabase" localSheetId="2" hidden="1">'Horario x dia'!$A$3:$H$27</definedName>
    <definedName name="_xlnm._FilterDatabase" localSheetId="6" hidden="1">Meses!$A$3:$D$15</definedName>
    <definedName name="_xlnm._FilterDatabase" localSheetId="10" hidden="1">Usuarios!$A$3:$G$8</definedName>
  </definedNames>
  <calcPr calcId="124519" fullCalcOnLoad="1"/>
</workbook>
</file>

<file path=xl/sharedStrings.xml><?xml version="1.0" encoding="utf-8"?>
<sst xmlns="http://schemas.openxmlformats.org/spreadsheetml/2006/main" count="563" uniqueCount="411">
  <si>
    <t>Pedalito: insights de EcoBici 2024 (comunas 1, 2, 4 y 14)</t>
  </si>
  <si>
    <t>Base: 1.428.175 recorridos con origen y destino en las comunas 1. 2. 4 y 14. Para los indicadores se usan 1.274.080 recorridos válidos (entre 1 minuto y 3 horas; se descartó el 11% restante por ser probables fallas de anclaje).</t>
  </si>
  <si>
    <t>1. Los fines de semana la gente pedalea el doble de tiempo</t>
  </si>
  <si>
    <t>La mediana de un viaje en día hábil es 13 min; en fin de semana o feriado es 26 min. Es el patrón de uso recreativo que busca Pedalito.</t>
  </si>
  <si>
    <t>2. El viaje de ida y vuelta se duplica en fin de semana</t>
  </si>
  <si>
    <t>17% de los viajes de fin de semana o feriado terminan en la misma estación donde empezaron, contra 8% en días hábiles. Un recorrido cultural circular encaja con esa conducta.</t>
  </si>
  <si>
    <t>3. Hay menos viajes por día, pero de mejor calidad para paseo</t>
  </si>
  <si>
    <t>Un día hábil promedio tiene 4.300 viajes y un fin de semana o feriado 1.781. Pedalito no compite por volumen sino por tiempo libre.</t>
  </si>
  <si>
    <t>4. Los usuarios ocasionales son el público natural</t>
  </si>
  <si>
    <t>El 77% de los usuarios hizo 5 viajes o menos en el año y concentra el 19% de los viajes. Esos usuarios andan en fin de semana en 44% (1 viaje) y 37% (2 a 5 viajes) de los casos. Los de más de 100 viajes lo hacen solo en 7%: son commuters.</t>
  </si>
  <si>
    <t>5. La comuna 14 es la más recreativa</t>
  </si>
  <si>
    <t>Tiene 23% de viajes en fin de semana o feriado (la comuna 1 tiene 13%) y 34% de viajes desde las 18 h. Estaciones como Costanera Norte, De los Ombúes y Plazoleta Río de la Plata superan el 38% de uso en fin de semana.</t>
  </si>
  <si>
    <t>6. La comuna 4 es la de los circuitos cerrados</t>
  </si>
  <si>
    <t>16% de sus viajes vuelven a la misma estación (la más alta) y tienen la mediana más larga de los días hábiles. Estaciones como Parque Patricios, Usina del Arte y Parque Uriburu tienen 15% a 24% de ida y vuelta.</t>
  </si>
  <si>
    <t>7. La tarde y el atardecer concentran el uso</t>
  </si>
  <si>
    <t>El pico es de 16 a 18 h. La franja tarde-noche (18 a 21 h) tiene 299.970 viajes válidos. ideal para recorridos de espacios con horario nocturno (teatros. centros culturales).</t>
  </si>
  <si>
    <t>8. Corredores culturales ya existentes</t>
  </si>
  <si>
    <t>MALBA y Facultad de Derecho es uno de los pares más fuertes (más de 2.700 viajes en cada sentido), igual que Plaza Italia a Planetario y Plaza de la Shoá con Pacífico. Son candidatos para las primeras rutas.</t>
  </si>
  <si>
    <t>9. Rebalanceo</t>
  </si>
  <si>
    <t>Parque Lezama (+2.813) y Juan Manuel de Blanes reciben más bicis de las que salen. Virrey Cevallos. Cerrito y Aduana pierden bicis. Esto afecta la disponibilidad de la ruta y es un dato para la parte operativa.</t>
  </si>
  <si>
    <t>10. Estacionalidad</t>
  </si>
  <si>
    <t>Septiembre a noviembre tienen los volúmenes más altos (cerca de 120 mil viajes por mes) y junio a agosto los más bajos (menos de 90 mil). Enero y febrero tienen los viajes más largos (mediana de 15 min). Conviene lanzar en primavera.</t>
  </si>
  <si>
    <t>11. Género</t>
  </si>
  <si>
    <t>Las mujeres hacen viajes más largos (mediana 16 min contra 13 min de hombres), más ida y vuelta (12% contra 8%) y más fin de semana. Es un público a diseñar con cuidado en seguridad y paradas.</t>
  </si>
  <si>
    <t>Límite importante</t>
  </si>
  <si>
    <t>Este dataset no tiene espacios culturales. Para validar la hipótesis de las estaciones a menos de 300 m hay que cruzar con el dataset de espacios culturales. Hoy solo se usan los nombres de estación como pista (hoja Estaciones, columna de lugar cultural o verde).</t>
  </si>
  <si>
    <t>Método y supuestos: horario tomado del origen; feriados nacionales 2024 y puentes cargados a mano; "ida y vuelta" = estación de origen igual a la de destino; los porcentajes y medianas están calculados sobre recorridos válidos. Las tablas son valores calculados con Python sobre los 1,4 millones de filas, no fórmulas.</t>
  </si>
  <si>
    <t>Indicadores por estación de origen (índice recreativo solo para estaciones con 3.000 o más salidas)</t>
  </si>
  <si>
    <t>Estacion</t>
  </si>
  <si>
    <t>Comuna</t>
  </si>
  <si>
    <t>Direccion</t>
  </si>
  <si>
    <t>Latitud</t>
  </si>
  <si>
    <t>Longitud</t>
  </si>
  <si>
    <t>Salidas</t>
  </si>
  <si>
    <t>Pct finde feriado</t>
  </si>
  <si>
    <t>Pct ida vuelta</t>
  </si>
  <si>
    <t>Mediana min</t>
  </si>
  <si>
    <t>Pct desde 18h</t>
  </si>
  <si>
    <t>Llegadas</t>
  </si>
  <si>
    <t>Saldo llegadas menos salidas</t>
  </si>
  <si>
    <t>Indice recreativo</t>
  </si>
  <si>
    <t>Nombre sugiere lugar cultural o verde</t>
  </si>
  <si>
    <t>147 - Constitución</t>
  </si>
  <si>
    <t>Avenida Juan de Garay 1050</t>
  </si>
  <si>
    <t>014 - Pacifico</t>
  </si>
  <si>
    <t>Santa Fe Av. &amp; Bullrich, Int. Av.</t>
  </si>
  <si>
    <t>368 - PLAZA DE LA SHOÁ</t>
  </si>
  <si>
    <t>Av. Del Libertador 3899</t>
  </si>
  <si>
    <t>Sí</t>
  </si>
  <si>
    <t>152 - JULIETA LANTERI</t>
  </si>
  <si>
    <t>Vera Peñaloza, Rosario 599 &amp; Lanteri Julieta</t>
  </si>
  <si>
    <t>130 - RETIRO II</t>
  </si>
  <si>
    <t>Av. Dr. José María Ramos Mejía 1350</t>
  </si>
  <si>
    <t>001 - FACULTAD DE DERECHO</t>
  </si>
  <si>
    <t>Av. Pres. Figueroa Alcorta 2120</t>
  </si>
  <si>
    <t>005 - Plaza Italia</t>
  </si>
  <si>
    <t>Av. Sarmiento 2601</t>
  </si>
  <si>
    <t>150 - RODRIGO BUENO</t>
  </si>
  <si>
    <t>Av. España 2200</t>
  </si>
  <si>
    <t>008 - Congreso</t>
  </si>
  <si>
    <t>Cevallos, Virrey&amp; Yrigoyen, Hipolito Av.</t>
  </si>
  <si>
    <t>294 - PLAZOLETA RÍO DE LA PLATA</t>
  </si>
  <si>
    <t>Av. Sarmiento 500</t>
  </si>
  <si>
    <t>004 - Plaza Roma</t>
  </si>
  <si>
    <t>Av. Corrientes 100</t>
  </si>
  <si>
    <t>079 - AZUCENA VILLAFLOR</t>
  </si>
  <si>
    <t>Villaflor, Azucena &amp; Dealessi, Pierina</t>
  </si>
  <si>
    <t>009 - Parque Las Heras</t>
  </si>
  <si>
    <t>2300 Diaz, Cnel. Av. &amp; French</t>
  </si>
  <si>
    <t>128 - PARQUE DEL BAJO</t>
  </si>
  <si>
    <t>Tte. Gral. Juan Domingo Perón 133</t>
  </si>
  <si>
    <t>003 - ADUANA</t>
  </si>
  <si>
    <t>Av. Paseo Colón 380</t>
  </si>
  <si>
    <t>103 - MALBA</t>
  </si>
  <si>
    <t>Av. Pres. Figueroa Alcorta 3451</t>
  </si>
  <si>
    <t>131- HOSPITAL DE CLÍNICAS</t>
  </si>
  <si>
    <t>Uriburu Jose E., Pres. &amp; Paraguay</t>
  </si>
  <si>
    <t>111 - MACACHA GUEMES</t>
  </si>
  <si>
    <t>Macacha Guemes 350</t>
  </si>
  <si>
    <t>292 - PLAZA BOLIVIA</t>
  </si>
  <si>
    <t>Olleros Av. &amp; Del Libertador Av.</t>
  </si>
  <si>
    <t>061 - Ministerio de Economia</t>
  </si>
  <si>
    <t>Balcarce e Yrigoyen, Hipolito Av.</t>
  </si>
  <si>
    <t>237 - Madero Office</t>
  </si>
  <si>
    <t>367 Sanchez De Thompson, Mariquita</t>
  </si>
  <si>
    <t>166 - Cementerio de Recoleta</t>
  </si>
  <si>
    <t>Vicente López 2100</t>
  </si>
  <si>
    <t>200 - AUSTRIA Y FRENCH</t>
  </si>
  <si>
    <t>Austria 2075</t>
  </si>
  <si>
    <t>156 - Plaza Alemania</t>
  </si>
  <si>
    <t>2939 Cavia</t>
  </si>
  <si>
    <t>183 - VIRREY CEVALLOS</t>
  </si>
  <si>
    <t>Mexico 1652</t>
  </si>
  <si>
    <t>069 - Ecuador</t>
  </si>
  <si>
    <t>1226 Ecuador &amp; Mansilla, Lucio Norberto, General</t>
  </si>
  <si>
    <t>025 - Plaza Guemes</t>
  </si>
  <si>
    <t>Salguero, Jeronimo &amp; Mansilla, Lucio Norberto, General</t>
  </si>
  <si>
    <t>033 - Facultad de Medicina</t>
  </si>
  <si>
    <t>Pres. José Evaristo Uriburu 987</t>
  </si>
  <si>
    <t>117 - HUMBERTO 1°</t>
  </si>
  <si>
    <t>Av. Carlos Calvo 513</t>
  </si>
  <si>
    <t>071 - CERRITO</t>
  </si>
  <si>
    <t>Libertad &amp; lavalle</t>
  </si>
  <si>
    <t>083 - Paraná</t>
  </si>
  <si>
    <t>1590 Lavalle</t>
  </si>
  <si>
    <t>164 - FACULTAD DE INGENIERIA</t>
  </si>
  <si>
    <t>AV. PASEO COLÓN 811</t>
  </si>
  <si>
    <t>137 - AZOPARDO Y CHILE</t>
  </si>
  <si>
    <t>AZOPARDO 700</t>
  </si>
  <si>
    <t>064 - RIOBAMBA</t>
  </si>
  <si>
    <t>Riobamba 1264 &amp; Juncal</t>
  </si>
  <si>
    <t>006 - Parque Lezama</t>
  </si>
  <si>
    <t>Avenida Martin Garcia, 295</t>
  </si>
  <si>
    <t>035 - INGENIERO BUTTY</t>
  </si>
  <si>
    <t>Ing. E. Butty 291</t>
  </si>
  <si>
    <t>066 - Billinghurst</t>
  </si>
  <si>
    <t>3508 Carcova</t>
  </si>
  <si>
    <t>113 - Guatemala</t>
  </si>
  <si>
    <t>Guatemala 4773</t>
  </si>
  <si>
    <t>335 - General Urquiza</t>
  </si>
  <si>
    <t>Figueroa Alcorta &amp; Sarmiento</t>
  </si>
  <si>
    <t>390 - De Los Ombues</t>
  </si>
  <si>
    <t>Av. de los Ombúes 300</t>
  </si>
  <si>
    <t>172 - BRASIL</t>
  </si>
  <si>
    <t>BRASIL&amp;DEFENSA</t>
  </si>
  <si>
    <t>038 - Plaza Libertad</t>
  </si>
  <si>
    <t>Cerrito 990 y Av. Marcelo T. De Alvear</t>
  </si>
  <si>
    <t>012 - Plaza Vicente Lopez</t>
  </si>
  <si>
    <t>Parana &amp; Juncal</t>
  </si>
  <si>
    <t>026 - JUANA MANSO I</t>
  </si>
  <si>
    <t>Manso Juana &amp; De La Barra, Emma</t>
  </si>
  <si>
    <t>135 - MARCELO T. DE ALVEAR</t>
  </si>
  <si>
    <t>Esmeralda &amp; Paraguay</t>
  </si>
  <si>
    <t>027 - Montevideo</t>
  </si>
  <si>
    <t>Cordoba Av. &amp; Montevideo</t>
  </si>
  <si>
    <t>116 - HOSPITAL ALEMÁN</t>
  </si>
  <si>
    <t xml:space="preserve"> Juncal 2407</t>
  </si>
  <si>
    <t>174 - MINISTERIO DE EDUCACION</t>
  </si>
  <si>
    <t>Marcelo T. de Alvear &amp; Rodriguez Peña</t>
  </si>
  <si>
    <t>032 - Catedral</t>
  </si>
  <si>
    <t>Bartolomé Mitre &amp; San Martín</t>
  </si>
  <si>
    <t>065 - Julián Álvarez</t>
  </si>
  <si>
    <t>3822 Guemes</t>
  </si>
  <si>
    <t>085 - AGUERO</t>
  </si>
  <si>
    <t>Aguero &amp; Mansilla, Lucio Norberto, General</t>
  </si>
  <si>
    <t>132 - CORRIENTES</t>
  </si>
  <si>
    <t>Reconquista &amp; Corrientes Av.</t>
  </si>
  <si>
    <t>089 - Cabello</t>
  </si>
  <si>
    <t>3082 Cabello</t>
  </si>
  <si>
    <t>002 - Retiro I</t>
  </si>
  <si>
    <t>AV. Dr. José María Ramos Mejía 1300</t>
  </si>
  <si>
    <t>316 - Buenos Aires</t>
  </si>
  <si>
    <t>Suarez 3150</t>
  </si>
  <si>
    <t>041 - PARQUE PATRICIOS II</t>
  </si>
  <si>
    <t>Av Caseros 3015</t>
  </si>
  <si>
    <t>010 - Madero UCA</t>
  </si>
  <si>
    <t>1600 Moreau De Justo, Alicia Av.</t>
  </si>
  <si>
    <t>393 - Barrio 31</t>
  </si>
  <si>
    <t>Islas Galápagos 2800</t>
  </si>
  <si>
    <t>189 - POSADAS</t>
  </si>
  <si>
    <t>1350 Posadas</t>
  </si>
  <si>
    <t>273 - Plazoleta Colombia</t>
  </si>
  <si>
    <t>1619 Brandsen</t>
  </si>
  <si>
    <t>050 - Hospital Rivadavia</t>
  </si>
  <si>
    <t>2516 Pereyra Lucena</t>
  </si>
  <si>
    <t>059 - Coronel Diaz</t>
  </si>
  <si>
    <t>Guemes 3330 &amp; Coronel Diaz</t>
  </si>
  <si>
    <t>153 - JUAN MANUEL DE BLANES</t>
  </si>
  <si>
    <t>Av. Almirante Brown 653</t>
  </si>
  <si>
    <t>073 - Ruy Díaz de Guzmán</t>
  </si>
  <si>
    <t>Avenida Martin Garcia y Ruy Díaz de Guzmán</t>
  </si>
  <si>
    <t>070 - ARAOZ</t>
  </si>
  <si>
    <t>1413 Araoz &amp; Gorriti CABA</t>
  </si>
  <si>
    <t>391 - Plaza República de Ecuador</t>
  </si>
  <si>
    <t>Av. Pres. Figueroa Alcorta 5201</t>
  </si>
  <si>
    <t>081 - PARQUE DE LAS CIENCIAS</t>
  </si>
  <si>
    <t xml:space="preserve">Soler 5300 </t>
  </si>
  <si>
    <t>142 - ARMENIA</t>
  </si>
  <si>
    <t>ARMENIA 1525 y GORRITI</t>
  </si>
  <si>
    <t>034 - Colonia Express</t>
  </si>
  <si>
    <t>Elvira Rawson de Dellepiane 150</t>
  </si>
  <si>
    <t>332 - PACÍFICO II</t>
  </si>
  <si>
    <t>Av. Int. Bullrich 300</t>
  </si>
  <si>
    <t>168 - Estados Unidos</t>
  </si>
  <si>
    <t>Estados Unidos &amp; Lima</t>
  </si>
  <si>
    <t>181 - BILLINGHURST Y MANSILLA</t>
  </si>
  <si>
    <t>1520 Billinghurst &amp; Mansilla, Lucio Norberto, General</t>
  </si>
  <si>
    <t>046 - Chile</t>
  </si>
  <si>
    <t>Perú 718</t>
  </si>
  <si>
    <t>063 - Reconquista</t>
  </si>
  <si>
    <t>Viamonte 555</t>
  </si>
  <si>
    <t>124 - UGARTECHE</t>
  </si>
  <si>
    <t xml:space="preserve"> Juan María Gutiérrez 2069</t>
  </si>
  <si>
    <t>165 - PLAZA MONSEÑOR MIGUEL DE ANDREA</t>
  </si>
  <si>
    <t>Dr Tomas Manuel De  Anchorena &amp;  Jose A. Cabrera</t>
  </si>
  <si>
    <t>056 - Plaza Palermo Viejo</t>
  </si>
  <si>
    <t>Costa Rica &amp; Armenia</t>
  </si>
  <si>
    <t>016 - Legislatura</t>
  </si>
  <si>
    <t>169 Peru &amp; Roca, Julio A., Presidente Diagonal Sur Av.</t>
  </si>
  <si>
    <t>193 - ARENALES Y AGUERO</t>
  </si>
  <si>
    <t>Arenales y Aguero</t>
  </si>
  <si>
    <t>018 - Independencia</t>
  </si>
  <si>
    <t>Idependencia y Bernardo de Irigoyen</t>
  </si>
  <si>
    <t>177 -PLANETARIO</t>
  </si>
  <si>
    <t>Av Casares y Av Belisario Roldan</t>
  </si>
  <si>
    <t>112 - 9 de Julio</t>
  </si>
  <si>
    <t>Bernardo Irigoyen 320</t>
  </si>
  <si>
    <t>331 - CALIFORNIA</t>
  </si>
  <si>
    <t>California 1774 y General Hornos</t>
  </si>
  <si>
    <t>190 - JUNCAL</t>
  </si>
  <si>
    <t>Juncal &amp; Salguero, Jeronimo</t>
  </si>
  <si>
    <t>159 - Fitz Roy &amp; Gorriti</t>
  </si>
  <si>
    <t>Fitz Roy &amp; Gorriti</t>
  </si>
  <si>
    <t>022 - Arenales</t>
  </si>
  <si>
    <t>Cerrito &amp; Arenales</t>
  </si>
  <si>
    <t>182 - RAVIGNANI Y GUATEMALA</t>
  </si>
  <si>
    <t>2185 Ravignani, Emilio, Dr. &amp; Guatemala</t>
  </si>
  <si>
    <t>311 - SEC. DE INNOVACION Y TRANSFORMACIÓN</t>
  </si>
  <si>
    <t>Av. Caseros 2309</t>
  </si>
  <si>
    <t>251 - Solar de la Abadía</t>
  </si>
  <si>
    <t>Maure 1819</t>
  </si>
  <si>
    <t>373 - Jorgelina De Simone</t>
  </si>
  <si>
    <t>Cochabamba 1799</t>
  </si>
  <si>
    <t>196 - HOSPITAL ARGERICH</t>
  </si>
  <si>
    <t>750 Pi y Margall</t>
  </si>
  <si>
    <t>044 - Ecoparque</t>
  </si>
  <si>
    <t>Av. Del Libertador, 3260</t>
  </si>
  <si>
    <t>045 - Uruguay</t>
  </si>
  <si>
    <t>561 Uruguay &amp; Av. Tucuman</t>
  </si>
  <si>
    <t>037- Claudia Pía Baudracco</t>
  </si>
  <si>
    <t>Esmeralda y Rivadavia</t>
  </si>
  <si>
    <t>060 - 25 De Mayo</t>
  </si>
  <si>
    <t>527 25 De Mayo</t>
  </si>
  <si>
    <t>019 - PLAZA  SAN MARTIN</t>
  </si>
  <si>
    <t>Av. Santa Fe 716</t>
  </si>
  <si>
    <t>184 - Pedro Echague</t>
  </si>
  <si>
    <t>Pedro Echague 1878 &amp; Combate De Los Pozos</t>
  </si>
  <si>
    <t>115 - JUAN DE GARAY</t>
  </si>
  <si>
    <t>Av. Juan de Garay 1135</t>
  </si>
  <si>
    <t xml:space="preserve">053 - AV. DEL LIBERTADOR </t>
  </si>
  <si>
    <t>Av. Del Libertador 100</t>
  </si>
  <si>
    <t>126 - Ministerio de Justicia y Seguridad</t>
  </si>
  <si>
    <t>Olavarría 1201</t>
  </si>
  <si>
    <t>122 - COSTA RICA</t>
  </si>
  <si>
    <t>COSTA RICA 4060</t>
  </si>
  <si>
    <t>007 - OBELISCO</t>
  </si>
  <si>
    <t>CARLOS PELEGRINI 215</t>
  </si>
  <si>
    <t>021 - Parque Patricios</t>
  </si>
  <si>
    <t>Iguazu &amp; Uspallata</t>
  </si>
  <si>
    <t>334 - CENTRO DE EXPOSICIONES</t>
  </si>
  <si>
    <t>2133 Figueroa Alcorta</t>
  </si>
  <si>
    <t>329 - LAS CAÑITAS</t>
  </si>
  <si>
    <t>Clay 2818</t>
  </si>
  <si>
    <t>107 - HOSPITAL GARRAHAN</t>
  </si>
  <si>
    <t>Brasil 2290</t>
  </si>
  <si>
    <t>381 - Matienzo Y Arce</t>
  </si>
  <si>
    <t>Teniente Benjamín Matienzo 1998</t>
  </si>
  <si>
    <t>244 - UADE</t>
  </si>
  <si>
    <t>Lima 750</t>
  </si>
  <si>
    <t>160 - Godoy Cruz y Libertador</t>
  </si>
  <si>
    <t>Av. Cerviño 4301</t>
  </si>
  <si>
    <t>245 - COSTANERA NORTE</t>
  </si>
  <si>
    <t>AV. Costanera Rafael del Obligado 1700</t>
  </si>
  <si>
    <t>151 - AIME PAINÉ</t>
  </si>
  <si>
    <t>Av. de los Italianos 1200</t>
  </si>
  <si>
    <t>179 - CASA SAN</t>
  </si>
  <si>
    <t>Olavarría 811</t>
  </si>
  <si>
    <t>036 - MAIPÚ</t>
  </si>
  <si>
    <t>Tucumán 536</t>
  </si>
  <si>
    <t>024 - ALSINA</t>
  </si>
  <si>
    <t>Adolfo Alsina&amp; Bernardo De Irigoyen</t>
  </si>
  <si>
    <t>145 - RAVIGNANI</t>
  </si>
  <si>
    <t>EMILIO RAVIGNANI 1802</t>
  </si>
  <si>
    <t>149 - LIMA</t>
  </si>
  <si>
    <t>México &amp; Lima</t>
  </si>
  <si>
    <t>191 - Rivadavia y 9 de Julio</t>
  </si>
  <si>
    <t>Pellegrini Y Rivadavia Av.</t>
  </si>
  <si>
    <t>057 - BELGRANO</t>
  </si>
  <si>
    <t>Balcarce 482</t>
  </si>
  <si>
    <t>058 - Ministro Carranza</t>
  </si>
  <si>
    <t>Santa Fe Av. &amp; Dorrego</t>
  </si>
  <si>
    <t>023 - Suipacha</t>
  </si>
  <si>
    <t>Suipacha &amp; Viamonte</t>
  </si>
  <si>
    <t>340 - PLAZA NUEVA POMPEYA</t>
  </si>
  <si>
    <t>3817 Traful</t>
  </si>
  <si>
    <t>114 - TORRE MACRO</t>
  </si>
  <si>
    <t xml:space="preserve"> Av. Eduardo Madero 1180</t>
  </si>
  <si>
    <t>068 - AV. CORDOBA</t>
  </si>
  <si>
    <t>Av. Cordoba 5403</t>
  </si>
  <si>
    <t>139 - CASA ROSADA</t>
  </si>
  <si>
    <t>Av. Alicia Moreau de Justo 861</t>
  </si>
  <si>
    <t>040 - PARQUE SALGUERO</t>
  </si>
  <si>
    <t>Av. Costa Salguero 1222</t>
  </si>
  <si>
    <t>092 - Salcedo</t>
  </si>
  <si>
    <t>2908 Salcedo &amp; Dean Funes</t>
  </si>
  <si>
    <t>241 - BIBLIOTECA NACIONAL</t>
  </si>
  <si>
    <t>Austria 2690</t>
  </si>
  <si>
    <t>078 - TEATRO COLÓN</t>
  </si>
  <si>
    <t>Cerrito 698</t>
  </si>
  <si>
    <t>138 - Hospital Britanico</t>
  </si>
  <si>
    <t>153 Perdriel</t>
  </si>
  <si>
    <t>108 - Usina del Arte</t>
  </si>
  <si>
    <t>Caffarena, Agustin R. &amp; Don Pedro De Mendoza Av.</t>
  </si>
  <si>
    <t>051 - TUCUMAN</t>
  </si>
  <si>
    <t>Tucuman &amp; 9 De Julio Av.</t>
  </si>
  <si>
    <t>394 - Av. La Plata</t>
  </si>
  <si>
    <t>Av. La Plata 2400</t>
  </si>
  <si>
    <t>242 - Plazoleta Rafael del Riego</t>
  </si>
  <si>
    <t>o´higins 1327</t>
  </si>
  <si>
    <t>387 - Luna</t>
  </si>
  <si>
    <t>Luna 301</t>
  </si>
  <si>
    <t>155 - Parque José Evaristo Uriburu</t>
  </si>
  <si>
    <t xml:space="preserve"> Quilmes 491</t>
  </si>
  <si>
    <t>185 - JORGE NEWBERY</t>
  </si>
  <si>
    <t>Av. Costanera Rafael Obligado</t>
  </si>
  <si>
    <t>230 - AREVALO</t>
  </si>
  <si>
    <t>Arévalo 1408</t>
  </si>
  <si>
    <t>236 - UBA SOCIALES</t>
  </si>
  <si>
    <t xml:space="preserve">Santiago del Estero 1029 </t>
  </si>
  <si>
    <t>341 - COMUNA 4</t>
  </si>
  <si>
    <t>AV PERITO MORENO 2881</t>
  </si>
  <si>
    <t>388 - Plaza Jose C Paz</t>
  </si>
  <si>
    <t>Dr. Prof. Pedro Chutro 2881</t>
  </si>
  <si>
    <t>230 - PASEO DE LA COSTANERA II</t>
  </si>
  <si>
    <t>Av. Costanera Rafael Obligado 5100</t>
  </si>
  <si>
    <t>228 - UNIVERSIDAD DEL SALVADOR</t>
  </si>
  <si>
    <t>Marcelo Torcuato de Alvear 1335</t>
  </si>
  <si>
    <t>328 - JARDIN BOTANICO</t>
  </si>
  <si>
    <t>Santa Fe 4067</t>
  </si>
  <si>
    <t>202 - VICTOR MANUEL ACUÑA</t>
  </si>
  <si>
    <t>030 - GIRALT</t>
  </si>
  <si>
    <t>Av. Int. Hernan M. Giralt y Macacha Gúemes</t>
  </si>
  <si>
    <t>339 - HIPODROMO DE PALERMO</t>
  </si>
  <si>
    <t>Av. del Libertador 4175</t>
  </si>
  <si>
    <t>198 - AEROPARQUE</t>
  </si>
  <si>
    <t>342 - HONDURAS</t>
  </si>
  <si>
    <t>Honduras 5190</t>
  </si>
  <si>
    <t>246 - ALMAFUERTE</t>
  </si>
  <si>
    <t>Av. Almafuerte 857</t>
  </si>
  <si>
    <t>040 - HERRERA</t>
  </si>
  <si>
    <t>Aristóbulo del Valle 1895</t>
  </si>
  <si>
    <t>-CDO CUCHA CUCHA-</t>
  </si>
  <si>
    <t>CUCHA CUCHA 2672</t>
  </si>
  <si>
    <t>Viajes válidos por hora y día de la semana</t>
  </si>
  <si>
    <t>Hora</t>
  </si>
  <si>
    <t>Lun</t>
  </si>
  <si>
    <t>Mar</t>
  </si>
  <si>
    <t>Mié</t>
  </si>
  <si>
    <t>Jue</t>
  </si>
  <si>
    <t>Vie</t>
  </si>
  <si>
    <t>Sáb</t>
  </si>
  <si>
    <t>Dom</t>
  </si>
  <si>
    <t>Día hábil vs fin de semana o feriado</t>
  </si>
  <si>
    <t>Finde feriado</t>
  </si>
  <si>
    <t>Viajes</t>
  </si>
  <si>
    <t>Día hábil</t>
  </si>
  <si>
    <t>Fin de semana o feriado</t>
  </si>
  <si>
    <t>Por franja horaria</t>
  </si>
  <si>
    <t>Franja</t>
  </si>
  <si>
    <t>madrugada</t>
  </si>
  <si>
    <t>mañana</t>
  </si>
  <si>
    <t>tarde</t>
  </si>
  <si>
    <t>tarde-noche</t>
  </si>
  <si>
    <t>noche</t>
  </si>
  <si>
    <t>Por día de la semana</t>
  </si>
  <si>
    <t>Dia</t>
  </si>
  <si>
    <t>Por mes</t>
  </si>
  <si>
    <t>Mes</t>
  </si>
  <si>
    <t>Ene</t>
  </si>
  <si>
    <t>Feb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</si>
  <si>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</si>
  <si>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</si>
  <si>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</si>
  <si>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</si>
  <si>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</si>
  <si>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</si>
  <si>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</si>
  <si>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</si>
  <si>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</si>
  <si>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Por comuna de origen</t>
  </si>
  <si>
    <t>Viajes entre comunas (origen en filas, destino en columnas)</t>
  </si>
  <si>
    <t>Origen</t>
  </si>
  <si>
    <t>Destino 1</t>
  </si>
  <si>
    <t>Destino 2</t>
  </si>
  <si>
    <t>Destino 4</t>
  </si>
  <si>
    <t>Destino 14</t>
  </si>
  <si>
    <t>Origen 1</t>
  </si>
  <si>
    <t>Origen 2</t>
  </si>
  <si>
    <t>Origen 4</t>
  </si>
  <si>
    <t>Origen 14</t>
  </si>
  <si>
    <t>Top 40 pares de estaciones (sin ida y vuelta)</t>
  </si>
  <si>
    <t>Estacion origen</t>
  </si>
  <si>
    <t>Estacion destino</t>
  </si>
  <si>
    <t>Segmentos de usuarios por cantidad de viajes en el año</t>
  </si>
  <si>
    <t>Segmento</t>
  </si>
  <si>
    <t>Usuarios</t>
  </si>
  <si>
    <t>Pct finde feriado promedio</t>
  </si>
  <si>
    <t>Pct usuarios</t>
  </si>
  <si>
    <t>Pct viajes</t>
  </si>
  <si>
    <t>1 viaje</t>
  </si>
  <si>
    <t>2 a 5 viajes</t>
  </si>
  <si>
    <t>6 a 20 viajes</t>
  </si>
  <si>
    <t>21 a 100 viajes</t>
  </si>
  <si>
    <t>más de 100 viajes</t>
  </si>
  <si>
    <t>Por género y modelo de bicicleta</t>
  </si>
  <si>
    <t>Grupo</t>
  </si>
  <si>
    <t>FEMALE</t>
  </si>
  <si>
    <t>MALE</t>
  </si>
  <si>
    <t>OTHER</t>
  </si>
  <si>
    <t>FIT</t>
  </si>
  <si>
    <t>ICONIC</t>
  </si>
</sst>
</file>

<file path=xl/styles.xml><?xml version="1.0" encoding="utf-8"?>
<styleSheet xmlns="http://schemas.openxmlformats.org/spreadsheetml/2006/main">
  <numFmts count="4">
    <numFmt numFmtId="164" formatCode="0.000000"/>
    <numFmt numFmtId="165" formatCode="#,##0"/>
    <numFmt numFmtId="166" formatCode="0.0%"/>
    <numFmt numFmtId="167" formatCode="0.0"/>
  </numFmts>
  <fonts count="5">
    <font>
      <sz val="11"/>
      <color theme="1"/>
      <name val="Calibri"/>
      <family val="2"/>
      <scheme val="minor"/>
    </font>
    <font>
      <b/>
      <sz val="16"/>
      <color rgb="FF1F4E79"/>
      <name val="Arial"/>
      <family val="2"/>
    </font>
    <font>
      <sz val="10"/>
      <color theme="1"/>
      <name val="Arial"/>
      <family val="2"/>
    </font>
    <font>
      <b/>
      <sz val="12"/>
      <color rgb="FF1F4E79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/>
    <xf numFmtId="165" fontId="2" fillId="0" borderId="2" xfId="0" applyNumberFormat="1" applyFont="1" applyBorder="1"/>
    <xf numFmtId="166" fontId="2" fillId="0" borderId="2" xfId="0" applyNumberFormat="1" applyFont="1" applyBorder="1"/>
    <xf numFmtId="167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B40"/>
  <sheetViews>
    <sheetView showGridLines="0" tabSelected="1" workbookViewId="0"/>
  </sheetViews>
  <sheetFormatPr defaultRowHeight="15"/>
  <cols>
    <col min="1" max="1" width="4.7109375" customWidth="1"/>
    <col min="2" max="2" width="120.7109375" customWidth="1"/>
  </cols>
  <sheetData>
    <row r="1" spans="2:2">
      <c r="B1" s="1" t="s">
        <v>0</v>
      </c>
    </row>
    <row r="2" spans="2:2" ht="32" customHeight="1">
      <c r="B2" s="2" t="s">
        <v>1</v>
      </c>
    </row>
    <row r="4" spans="2:2">
      <c r="B4" s="3" t="s">
        <v>2</v>
      </c>
    </row>
    <row r="5" spans="2:2" ht="44" customHeight="1">
      <c r="B5" s="2" t="s">
        <v>3</v>
      </c>
    </row>
    <row r="7" spans="2:2">
      <c r="B7" s="3" t="s">
        <v>4</v>
      </c>
    </row>
    <row r="8" spans="2:2" ht="44" customHeight="1">
      <c r="B8" s="2" t="s">
        <v>5</v>
      </c>
    </row>
    <row r="10" spans="2:2">
      <c r="B10" s="3" t="s">
        <v>6</v>
      </c>
    </row>
    <row r="11" spans="2:2" ht="44" customHeight="1">
      <c r="B11" s="2" t="s">
        <v>7</v>
      </c>
    </row>
    <row r="13" spans="2:2">
      <c r="B13" s="3" t="s">
        <v>8</v>
      </c>
    </row>
    <row r="14" spans="2:2" ht="44" customHeight="1">
      <c r="B14" s="2" t="s">
        <v>9</v>
      </c>
    </row>
    <row r="16" spans="2:2">
      <c r="B16" s="3" t="s">
        <v>10</v>
      </c>
    </row>
    <row r="17" spans="2:2" ht="44" customHeight="1">
      <c r="B17" s="2" t="s">
        <v>11</v>
      </c>
    </row>
    <row r="19" spans="2:2">
      <c r="B19" s="3" t="s">
        <v>12</v>
      </c>
    </row>
    <row r="20" spans="2:2" ht="44" customHeight="1">
      <c r="B20" s="2" t="s">
        <v>13</v>
      </c>
    </row>
    <row r="22" spans="2:2">
      <c r="B22" s="3" t="s">
        <v>14</v>
      </c>
    </row>
    <row r="23" spans="2:2" ht="44" customHeight="1">
      <c r="B23" s="2" t="s">
        <v>15</v>
      </c>
    </row>
    <row r="25" spans="2:2">
      <c r="B25" s="3" t="s">
        <v>16</v>
      </c>
    </row>
    <row r="26" spans="2:2" ht="44" customHeight="1">
      <c r="B26" s="2" t="s">
        <v>17</v>
      </c>
    </row>
    <row r="28" spans="2:2">
      <c r="B28" s="3" t="s">
        <v>18</v>
      </c>
    </row>
    <row r="29" spans="2:2" ht="44" customHeight="1">
      <c r="B29" s="2" t="s">
        <v>19</v>
      </c>
    </row>
    <row r="31" spans="2:2">
      <c r="B31" s="3" t="s">
        <v>20</v>
      </c>
    </row>
    <row r="32" spans="2:2" ht="44" customHeight="1">
      <c r="B32" s="2" t="s">
        <v>21</v>
      </c>
    </row>
    <row r="34" spans="2:2">
      <c r="B34" s="3" t="s">
        <v>22</v>
      </c>
    </row>
    <row r="35" spans="2:2" ht="44" customHeight="1">
      <c r="B35" s="2" t="s">
        <v>23</v>
      </c>
    </row>
    <row r="37" spans="2:2">
      <c r="B37" s="3" t="s">
        <v>24</v>
      </c>
    </row>
    <row r="38" spans="2:2" ht="44" customHeight="1">
      <c r="B38" s="2" t="s">
        <v>25</v>
      </c>
    </row>
    <row r="40" spans="2:2" ht="44" customHeight="1">
      <c r="B40" s="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34.7109375" customWidth="1"/>
    <col min="2" max="2" width="9.7109375" customWidth="1"/>
    <col min="3" max="3" width="36.7109375" customWidth="1"/>
    <col min="4" max="5" width="12.7109375" customWidth="1"/>
    <col min="6" max="6" width="10.7109375" customWidth="1"/>
    <col min="7" max="7" width="14.7109375" customWidth="1"/>
    <col min="8" max="8" width="12.7109375" customWidth="1"/>
    <col min="9" max="9" width="11.7109375" customWidth="1"/>
    <col min="10" max="10" width="12.7109375" customWidth="1"/>
    <col min="11" max="11" width="10.7109375" customWidth="1"/>
    <col min="12" max="14" width="14.7109375" customWidth="1"/>
  </cols>
  <sheetData>
    <row r="1" spans="1:14">
      <c r="A1" s="3" t="s">
        <v>27</v>
      </c>
    </row>
    <row r="3" spans="1:14" ht="32" customHeight="1">
      <c r="A3" s="4" t="s">
        <v>28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40</v>
      </c>
      <c r="N3" s="4" t="s">
        <v>41</v>
      </c>
    </row>
    <row r="4" spans="1:14">
      <c r="A4" s="5" t="s">
        <v>42</v>
      </c>
      <c r="B4" s="6">
        <v>1</v>
      </c>
      <c r="C4" s="5" t="s">
        <v>43</v>
      </c>
      <c r="D4" s="7">
        <v>-34.626851</v>
      </c>
      <c r="E4" s="7">
        <v>-58.380707</v>
      </c>
      <c r="F4" s="8">
        <v>29005</v>
      </c>
      <c r="G4" s="9">
        <v>0.09436304085502499</v>
      </c>
      <c r="H4" s="9">
        <v>0.04061368729529392</v>
      </c>
      <c r="I4" s="10">
        <v>14.5</v>
      </c>
      <c r="J4" s="9">
        <v>0.1840027581451474</v>
      </c>
      <c r="K4" s="8">
        <v>28152</v>
      </c>
      <c r="L4" s="8">
        <v>-853</v>
      </c>
      <c r="M4" s="8">
        <v>26</v>
      </c>
      <c r="N4" s="6"/>
    </row>
    <row r="5" spans="1:14">
      <c r="A5" s="5" t="s">
        <v>44</v>
      </c>
      <c r="B5" s="6">
        <v>14</v>
      </c>
      <c r="C5" s="5" t="s">
        <v>45</v>
      </c>
      <c r="D5" s="7">
        <v>-34.577424</v>
      </c>
      <c r="E5" s="7">
        <v>-58.426387</v>
      </c>
      <c r="F5" s="8">
        <v>26270</v>
      </c>
      <c r="G5" s="9">
        <v>0.1955462504758279</v>
      </c>
      <c r="H5" s="9">
        <v>0.1015226494099734</v>
      </c>
      <c r="I5" s="10">
        <v>12.88333333333333</v>
      </c>
      <c r="J5" s="9">
        <v>0.3148077655119909</v>
      </c>
      <c r="K5" s="8">
        <v>25930</v>
      </c>
      <c r="L5" s="8">
        <v>-340</v>
      </c>
      <c r="M5" s="8">
        <v>58</v>
      </c>
      <c r="N5" s="6"/>
    </row>
    <row r="6" spans="1:14">
      <c r="A6" s="5" t="s">
        <v>46</v>
      </c>
      <c r="B6" s="6">
        <v>14</v>
      </c>
      <c r="C6" s="5" t="s">
        <v>47</v>
      </c>
      <c r="D6" s="7">
        <v>-34.5709984</v>
      </c>
      <c r="E6" s="7">
        <v>-58.42334690000001</v>
      </c>
      <c r="F6" s="8">
        <v>26023</v>
      </c>
      <c r="G6" s="9">
        <v>0.3012335241901395</v>
      </c>
      <c r="H6" s="9">
        <v>0.1639319063905007</v>
      </c>
      <c r="I6" s="10">
        <v>16.15</v>
      </c>
      <c r="J6" s="9">
        <v>0.374284286976905</v>
      </c>
      <c r="K6" s="8">
        <v>27133</v>
      </c>
      <c r="L6" s="8">
        <v>1110</v>
      </c>
      <c r="M6" s="8">
        <v>90</v>
      </c>
      <c r="N6" s="6" t="s">
        <v>48</v>
      </c>
    </row>
    <row r="7" spans="1:14">
      <c r="A7" s="5" t="s">
        <v>49</v>
      </c>
      <c r="B7" s="6">
        <v>1</v>
      </c>
      <c r="C7" s="5" t="s">
        <v>50</v>
      </c>
      <c r="D7" s="7">
        <v>-34.6181645</v>
      </c>
      <c r="E7" s="7">
        <v>-58.3596311</v>
      </c>
      <c r="F7" s="8">
        <v>24846</v>
      </c>
      <c r="G7" s="9">
        <v>0.2872897045802141</v>
      </c>
      <c r="H7" s="9">
        <v>0.2329550028173549</v>
      </c>
      <c r="I7" s="10">
        <v>19.35</v>
      </c>
      <c r="J7" s="9">
        <v>0.2542864042501811</v>
      </c>
      <c r="K7" s="8">
        <v>25779</v>
      </c>
      <c r="L7" s="8">
        <v>933</v>
      </c>
      <c r="M7" s="8">
        <v>94</v>
      </c>
      <c r="N7" s="6"/>
    </row>
    <row r="8" spans="1:14">
      <c r="A8" s="5" t="s">
        <v>51</v>
      </c>
      <c r="B8" s="6">
        <v>1</v>
      </c>
      <c r="C8" s="5" t="s">
        <v>52</v>
      </c>
      <c r="D8" s="7">
        <v>-34.5917376</v>
      </c>
      <c r="E8" s="7">
        <v>-58.37436403</v>
      </c>
      <c r="F8" s="8">
        <v>24788</v>
      </c>
      <c r="G8" s="9">
        <v>0.07483459738583186</v>
      </c>
      <c r="H8" s="9">
        <v>0.02589962885267065</v>
      </c>
      <c r="I8" s="10">
        <v>12.28333333333333</v>
      </c>
      <c r="J8" s="9">
        <v>0.2172825560755204</v>
      </c>
      <c r="K8" s="8">
        <v>25550</v>
      </c>
      <c r="L8" s="8">
        <v>762</v>
      </c>
      <c r="M8" s="8">
        <v>8</v>
      </c>
      <c r="N8" s="6"/>
    </row>
    <row r="9" spans="1:14">
      <c r="A9" s="5" t="s">
        <v>53</v>
      </c>
      <c r="B9" s="6">
        <v>2</v>
      </c>
      <c r="C9" s="5" t="s">
        <v>54</v>
      </c>
      <c r="D9" s="7">
        <v>-34.583749</v>
      </c>
      <c r="E9" s="7">
        <v>-58.390602</v>
      </c>
      <c r="F9" s="8">
        <v>24562</v>
      </c>
      <c r="G9" s="9">
        <v>0.238376353717124</v>
      </c>
      <c r="H9" s="9">
        <v>0.1041446136308118</v>
      </c>
      <c r="I9" s="10">
        <v>17.8</v>
      </c>
      <c r="J9" s="9">
        <v>0.3689031837798225</v>
      </c>
      <c r="K9" s="8">
        <v>24703</v>
      </c>
      <c r="L9" s="8">
        <v>141</v>
      </c>
      <c r="M9" s="8">
        <v>84</v>
      </c>
      <c r="N9" s="6" t="s">
        <v>48</v>
      </c>
    </row>
    <row r="10" spans="1:14">
      <c r="A10" s="5" t="s">
        <v>55</v>
      </c>
      <c r="B10" s="6">
        <v>14</v>
      </c>
      <c r="C10" s="5" t="s">
        <v>56</v>
      </c>
      <c r="D10" s="7">
        <v>-34.5805497</v>
      </c>
      <c r="E10" s="7">
        <v>-58.4209542</v>
      </c>
      <c r="F10" s="8">
        <v>23883</v>
      </c>
      <c r="G10" s="9">
        <v>0.2296193945484236</v>
      </c>
      <c r="H10" s="9">
        <v>0.1251936523887284</v>
      </c>
      <c r="I10" s="10">
        <v>15.68333333333333</v>
      </c>
      <c r="J10" s="9">
        <v>0.3189716534773688</v>
      </c>
      <c r="K10" s="8">
        <v>24467</v>
      </c>
      <c r="L10" s="8">
        <v>584</v>
      </c>
      <c r="M10" s="8">
        <v>82</v>
      </c>
      <c r="N10" s="6" t="s">
        <v>48</v>
      </c>
    </row>
    <row r="11" spans="1:14">
      <c r="A11" s="5" t="s">
        <v>57</v>
      </c>
      <c r="B11" s="6">
        <v>1</v>
      </c>
      <c r="C11" s="5" t="s">
        <v>58</v>
      </c>
      <c r="D11" s="7">
        <v>-34.6187547</v>
      </c>
      <c r="E11" s="7">
        <v>-58.3554654</v>
      </c>
      <c r="F11" s="8">
        <v>22805</v>
      </c>
      <c r="G11" s="9">
        <v>0.1633852225389169</v>
      </c>
      <c r="H11" s="9">
        <v>0.1126507344880509</v>
      </c>
      <c r="I11" s="10">
        <v>12.73333333333333</v>
      </c>
      <c r="J11" s="9">
        <v>0.2039903529927647</v>
      </c>
      <c r="K11" s="8">
        <v>23268</v>
      </c>
      <c r="L11" s="8">
        <v>463</v>
      </c>
      <c r="M11" s="8">
        <v>55</v>
      </c>
      <c r="N11" s="6"/>
    </row>
    <row r="12" spans="1:14">
      <c r="A12" s="5" t="s">
        <v>59</v>
      </c>
      <c r="B12" s="6">
        <v>1</v>
      </c>
      <c r="C12" s="5" t="s">
        <v>60</v>
      </c>
      <c r="D12" s="7">
        <v>-34.6094218</v>
      </c>
      <c r="E12" s="7">
        <v>-58.3893364</v>
      </c>
      <c r="F12" s="8">
        <v>20015</v>
      </c>
      <c r="G12" s="9">
        <v>0.1298026480139895</v>
      </c>
      <c r="H12" s="9">
        <v>0.110866849862603</v>
      </c>
      <c r="I12" s="10">
        <v>14.9</v>
      </c>
      <c r="J12" s="9">
        <v>0.2873844616537597</v>
      </c>
      <c r="K12" s="8">
        <v>20514</v>
      </c>
      <c r="L12" s="8">
        <v>499</v>
      </c>
      <c r="M12" s="8">
        <v>62</v>
      </c>
      <c r="N12" s="6"/>
    </row>
    <row r="13" spans="1:14">
      <c r="A13" s="5" t="s">
        <v>61</v>
      </c>
      <c r="B13" s="6">
        <v>14</v>
      </c>
      <c r="C13" s="5" t="s">
        <v>62</v>
      </c>
      <c r="D13" s="7">
        <v>-34.57424606980564</v>
      </c>
      <c r="E13" s="7">
        <v>-58.41465533223048</v>
      </c>
      <c r="F13" s="8">
        <v>19082</v>
      </c>
      <c r="G13" s="9">
        <v>0.3821402368724452</v>
      </c>
      <c r="H13" s="9">
        <v>0.2605072843517451</v>
      </c>
      <c r="I13" s="10">
        <v>22.33333333333333</v>
      </c>
      <c r="J13" s="9">
        <v>0.3916780211717849</v>
      </c>
      <c r="K13" s="8">
        <v>19643</v>
      </c>
      <c r="L13" s="8">
        <v>561</v>
      </c>
      <c r="M13" s="8">
        <v>98</v>
      </c>
      <c r="N13" s="6"/>
    </row>
    <row r="14" spans="1:14">
      <c r="A14" s="5" t="s">
        <v>63</v>
      </c>
      <c r="B14" s="6">
        <v>1</v>
      </c>
      <c r="C14" s="5" t="s">
        <v>64</v>
      </c>
      <c r="D14" s="7">
        <v>-34.6030082348981</v>
      </c>
      <c r="E14" s="7">
        <v>-58.36885646243477</v>
      </c>
      <c r="F14" s="8">
        <v>18610</v>
      </c>
      <c r="G14" s="9">
        <v>0.1016657710908114</v>
      </c>
      <c r="H14" s="9">
        <v>0.03218699623858141</v>
      </c>
      <c r="I14" s="10">
        <v>10.71666666666667</v>
      </c>
      <c r="J14" s="9">
        <v>0.2077377753895755</v>
      </c>
      <c r="K14" s="8">
        <v>18375</v>
      </c>
      <c r="L14" s="8">
        <v>-235</v>
      </c>
      <c r="M14" s="8">
        <v>9</v>
      </c>
      <c r="N14" s="6" t="s">
        <v>48</v>
      </c>
    </row>
    <row r="15" spans="1:14">
      <c r="A15" s="5" t="s">
        <v>65</v>
      </c>
      <c r="B15" s="6">
        <v>1</v>
      </c>
      <c r="C15" s="5" t="s">
        <v>66</v>
      </c>
      <c r="D15" s="7">
        <v>-34.61189</v>
      </c>
      <c r="E15" s="7">
        <v>-58.36393000000001</v>
      </c>
      <c r="F15" s="8">
        <v>17911</v>
      </c>
      <c r="G15" s="9">
        <v>0.2377310032940651</v>
      </c>
      <c r="H15" s="9">
        <v>0.1208196080620847</v>
      </c>
      <c r="I15" s="10">
        <v>14.88333333333333</v>
      </c>
      <c r="J15" s="9">
        <v>0.279437217352465</v>
      </c>
      <c r="K15" s="8">
        <v>17578</v>
      </c>
      <c r="L15" s="8">
        <v>-333</v>
      </c>
      <c r="M15" s="8">
        <v>79</v>
      </c>
      <c r="N15" s="6"/>
    </row>
    <row r="16" spans="1:14">
      <c r="A16" s="5" t="s">
        <v>67</v>
      </c>
      <c r="B16" s="6">
        <v>14</v>
      </c>
      <c r="C16" s="5" t="s">
        <v>68</v>
      </c>
      <c r="D16" s="7">
        <v>-34.585443</v>
      </c>
      <c r="E16" s="7">
        <v>-58.407741</v>
      </c>
      <c r="F16" s="8">
        <v>17568</v>
      </c>
      <c r="G16" s="9">
        <v>0.1865323315118397</v>
      </c>
      <c r="H16" s="9">
        <v>0.1028005464480874</v>
      </c>
      <c r="I16" s="10">
        <v>14.63333333333333</v>
      </c>
      <c r="J16" s="9">
        <v>0.3767645719489982</v>
      </c>
      <c r="K16" s="8">
        <v>18445</v>
      </c>
      <c r="L16" s="8">
        <v>877</v>
      </c>
      <c r="M16" s="8">
        <v>70</v>
      </c>
      <c r="N16" s="6" t="s">
        <v>48</v>
      </c>
    </row>
    <row r="17" spans="1:14">
      <c r="A17" s="5" t="s">
        <v>69</v>
      </c>
      <c r="B17" s="6">
        <v>1</v>
      </c>
      <c r="C17" s="5" t="s">
        <v>70</v>
      </c>
      <c r="D17" s="7">
        <v>-34.60515159</v>
      </c>
      <c r="E17" s="7">
        <v>-58.36882117</v>
      </c>
      <c r="F17" s="8">
        <v>16252</v>
      </c>
      <c r="G17" s="9">
        <v>0.1529657888259907</v>
      </c>
      <c r="H17" s="9">
        <v>0.07365247354171794</v>
      </c>
      <c r="I17" s="10">
        <v>12.35</v>
      </c>
      <c r="J17" s="9">
        <v>0.2480925424563131</v>
      </c>
      <c r="K17" s="8">
        <v>16059</v>
      </c>
      <c r="L17" s="8">
        <v>-193</v>
      </c>
      <c r="M17" s="8">
        <v>42</v>
      </c>
      <c r="N17" s="6" t="s">
        <v>48</v>
      </c>
    </row>
    <row r="18" spans="1:14">
      <c r="A18" s="5" t="s">
        <v>71</v>
      </c>
      <c r="B18" s="6">
        <v>1</v>
      </c>
      <c r="C18" s="5" t="s">
        <v>72</v>
      </c>
      <c r="D18" s="7">
        <v>-34.61220714255728</v>
      </c>
      <c r="E18" s="7">
        <v>-58.369129063789</v>
      </c>
      <c r="F18" s="8">
        <v>16066</v>
      </c>
      <c r="G18" s="9">
        <v>0.0991534918461347</v>
      </c>
      <c r="H18" s="9">
        <v>0.08334370720776796</v>
      </c>
      <c r="I18" s="10">
        <v>11.41666666666667</v>
      </c>
      <c r="J18" s="9">
        <v>0.1651935764969501</v>
      </c>
      <c r="K18" s="8">
        <v>14534</v>
      </c>
      <c r="L18" s="8">
        <v>-1532</v>
      </c>
      <c r="M18" s="8">
        <v>28</v>
      </c>
      <c r="N18" s="6"/>
    </row>
    <row r="19" spans="1:14">
      <c r="A19" s="5" t="s">
        <v>73</v>
      </c>
      <c r="B19" s="6">
        <v>14</v>
      </c>
      <c r="C19" s="5" t="s">
        <v>74</v>
      </c>
      <c r="D19" s="7">
        <v>-34.57694914795284</v>
      </c>
      <c r="E19" s="7">
        <v>-58.40398420287857</v>
      </c>
      <c r="F19" s="8">
        <v>15940</v>
      </c>
      <c r="G19" s="9">
        <v>0.1899623588456713</v>
      </c>
      <c r="H19" s="9">
        <v>0.05144291091593475</v>
      </c>
      <c r="I19" s="10">
        <v>14.8</v>
      </c>
      <c r="J19" s="9">
        <v>0.2991217063989962</v>
      </c>
      <c r="K19" s="8">
        <v>15724</v>
      </c>
      <c r="L19" s="8">
        <v>-216</v>
      </c>
      <c r="M19" s="8">
        <v>54</v>
      </c>
      <c r="N19" s="6" t="s">
        <v>48</v>
      </c>
    </row>
    <row r="20" spans="1:14">
      <c r="A20" s="5" t="s">
        <v>75</v>
      </c>
      <c r="B20" s="6">
        <v>2</v>
      </c>
      <c r="C20" s="5" t="s">
        <v>76</v>
      </c>
      <c r="D20" s="7">
        <v>-34.5984043</v>
      </c>
      <c r="E20" s="7">
        <v>-58.39901580000001</v>
      </c>
      <c r="F20" s="8">
        <v>15715</v>
      </c>
      <c r="G20" s="9">
        <v>0.110467706013363</v>
      </c>
      <c r="H20" s="9">
        <v>0.06331530384982501</v>
      </c>
      <c r="I20" s="10">
        <v>14.55</v>
      </c>
      <c r="J20" s="9">
        <v>0.2708240534521158</v>
      </c>
      <c r="K20" s="8">
        <v>15422</v>
      </c>
      <c r="L20" s="8">
        <v>-293</v>
      </c>
      <c r="M20" s="8">
        <v>39</v>
      </c>
      <c r="N20" s="6"/>
    </row>
    <row r="21" spans="1:14">
      <c r="A21" s="5" t="s">
        <v>77</v>
      </c>
      <c r="B21" s="6">
        <v>1</v>
      </c>
      <c r="C21" s="5" t="s">
        <v>78</v>
      </c>
      <c r="D21" s="7">
        <v>-34.6054877</v>
      </c>
      <c r="E21" s="7">
        <v>-58.3646858</v>
      </c>
      <c r="F21" s="8">
        <v>15655</v>
      </c>
      <c r="G21" s="9">
        <v>0.2315554136058767</v>
      </c>
      <c r="H21" s="9">
        <v>0.1319706164164804</v>
      </c>
      <c r="I21" s="10">
        <v>16.05</v>
      </c>
      <c r="J21" s="9">
        <v>0.2438198658575535</v>
      </c>
      <c r="K21" s="8">
        <v>15669</v>
      </c>
      <c r="L21" s="8">
        <v>14</v>
      </c>
      <c r="M21" s="8">
        <v>85</v>
      </c>
      <c r="N21" s="6"/>
    </row>
    <row r="22" spans="1:14">
      <c r="A22" s="5" t="s">
        <v>79</v>
      </c>
      <c r="B22" s="6">
        <v>14</v>
      </c>
      <c r="C22" s="5" t="s">
        <v>80</v>
      </c>
      <c r="D22" s="7">
        <v>-34.563539</v>
      </c>
      <c r="E22" s="7">
        <v>-58.436115</v>
      </c>
      <c r="F22" s="8">
        <v>14050</v>
      </c>
      <c r="G22" s="9">
        <v>0.2156583629893238</v>
      </c>
      <c r="H22" s="9">
        <v>0.158932384341637</v>
      </c>
      <c r="I22" s="10">
        <v>18.2</v>
      </c>
      <c r="J22" s="9">
        <v>0.3309608540925267</v>
      </c>
      <c r="K22" s="8">
        <v>14279</v>
      </c>
      <c r="L22" s="8">
        <v>229</v>
      </c>
      <c r="M22" s="8">
        <v>88</v>
      </c>
      <c r="N22" s="6" t="s">
        <v>48</v>
      </c>
    </row>
    <row r="23" spans="1:14">
      <c r="A23" s="5" t="s">
        <v>81</v>
      </c>
      <c r="B23" s="6">
        <v>1</v>
      </c>
      <c r="C23" s="5" t="s">
        <v>82</v>
      </c>
      <c r="D23" s="7">
        <v>-34.608936</v>
      </c>
      <c r="E23" s="7">
        <v>-58.37071600000001</v>
      </c>
      <c r="F23" s="8">
        <v>13916</v>
      </c>
      <c r="G23" s="9">
        <v>0.1148318482322506</v>
      </c>
      <c r="H23" s="9">
        <v>0.03075596435757402</v>
      </c>
      <c r="I23" s="10">
        <v>9.658333333333333</v>
      </c>
      <c r="J23" s="9">
        <v>0.157229088818626</v>
      </c>
      <c r="K23" s="8">
        <v>12988</v>
      </c>
      <c r="L23" s="8">
        <v>-928</v>
      </c>
      <c r="M23" s="8">
        <v>10</v>
      </c>
      <c r="N23" s="6"/>
    </row>
    <row r="24" spans="1:14">
      <c r="A24" s="5" t="s">
        <v>83</v>
      </c>
      <c r="B24" s="6">
        <v>1</v>
      </c>
      <c r="C24" s="5" t="s">
        <v>84</v>
      </c>
      <c r="D24" s="7">
        <v>-34.599036</v>
      </c>
      <c r="E24" s="7">
        <v>-58.36469499999999</v>
      </c>
      <c r="F24" s="8">
        <v>13476</v>
      </c>
      <c r="G24" s="9">
        <v>0.1998367468091422</v>
      </c>
      <c r="H24" s="9">
        <v>0.09594835262689225</v>
      </c>
      <c r="I24" s="10">
        <v>11.91666666666667</v>
      </c>
      <c r="J24" s="9">
        <v>0.1947907390917186</v>
      </c>
      <c r="K24" s="8">
        <v>14992</v>
      </c>
      <c r="L24" s="8">
        <v>1516</v>
      </c>
      <c r="M24" s="8">
        <v>53</v>
      </c>
      <c r="N24" s="6"/>
    </row>
    <row r="25" spans="1:14">
      <c r="A25" s="5" t="s">
        <v>85</v>
      </c>
      <c r="B25" s="6">
        <v>2</v>
      </c>
      <c r="C25" s="5" t="s">
        <v>86</v>
      </c>
      <c r="D25" s="7">
        <v>-34.58834666323975</v>
      </c>
      <c r="E25" s="7">
        <v>-58.39414794286564</v>
      </c>
      <c r="F25" s="8">
        <v>13203</v>
      </c>
      <c r="G25" s="9">
        <v>0.2284329319094145</v>
      </c>
      <c r="H25" s="9">
        <v>0.06862076800727107</v>
      </c>
      <c r="I25" s="10">
        <v>17.9</v>
      </c>
      <c r="J25" s="9">
        <v>0.3311368628342043</v>
      </c>
      <c r="K25" s="8">
        <v>13505</v>
      </c>
      <c r="L25" s="8">
        <v>302</v>
      </c>
      <c r="M25" s="8">
        <v>72</v>
      </c>
      <c r="N25" s="6" t="s">
        <v>48</v>
      </c>
    </row>
    <row r="26" spans="1:14">
      <c r="A26" s="5" t="s">
        <v>87</v>
      </c>
      <c r="B26" s="6">
        <v>2</v>
      </c>
      <c r="C26" s="5" t="s">
        <v>88</v>
      </c>
      <c r="D26" s="7">
        <v>-34.5882997</v>
      </c>
      <c r="E26" s="7">
        <v>-58.40426080000001</v>
      </c>
      <c r="F26" s="8">
        <v>13201</v>
      </c>
      <c r="G26" s="9">
        <v>0.1405954094386789</v>
      </c>
      <c r="H26" s="9">
        <v>0.05863192182410423</v>
      </c>
      <c r="I26" s="10">
        <v>13.95</v>
      </c>
      <c r="J26" s="9">
        <v>0.3497462313461102</v>
      </c>
      <c r="K26" s="8">
        <v>13701</v>
      </c>
      <c r="L26" s="8">
        <v>500</v>
      </c>
      <c r="M26" s="8">
        <v>42</v>
      </c>
      <c r="N26" s="6"/>
    </row>
    <row r="27" spans="1:14">
      <c r="A27" s="5" t="s">
        <v>89</v>
      </c>
      <c r="B27" s="6">
        <v>14</v>
      </c>
      <c r="C27" s="5" t="s">
        <v>90</v>
      </c>
      <c r="D27" s="7">
        <v>-34.5775895</v>
      </c>
      <c r="E27" s="7">
        <v>-58.40746960000001</v>
      </c>
      <c r="F27" s="8">
        <v>12988</v>
      </c>
      <c r="G27" s="9">
        <v>0.2373729596550662</v>
      </c>
      <c r="H27" s="9">
        <v>0.09354789036033262</v>
      </c>
      <c r="I27" s="10">
        <v>16.6</v>
      </c>
      <c r="J27" s="9">
        <v>0.3277640899291654</v>
      </c>
      <c r="K27" s="8">
        <v>13431</v>
      </c>
      <c r="L27" s="8">
        <v>443</v>
      </c>
      <c r="M27" s="8">
        <v>81</v>
      </c>
      <c r="N27" s="6" t="s">
        <v>48</v>
      </c>
    </row>
    <row r="28" spans="1:14">
      <c r="A28" s="5" t="s">
        <v>91</v>
      </c>
      <c r="B28" s="6">
        <v>1</v>
      </c>
      <c r="C28" s="5" t="s">
        <v>92</v>
      </c>
      <c r="D28" s="7">
        <v>-34.6156994</v>
      </c>
      <c r="E28" s="7">
        <v>-58.3899728</v>
      </c>
      <c r="F28" s="8">
        <v>12628</v>
      </c>
      <c r="G28" s="9">
        <v>0.1184668989547038</v>
      </c>
      <c r="H28" s="9">
        <v>0.07800126702565727</v>
      </c>
      <c r="I28" s="10">
        <v>14.76666666666667</v>
      </c>
      <c r="J28" s="9">
        <v>0.2583148558758315</v>
      </c>
      <c r="K28" s="8">
        <v>10485</v>
      </c>
      <c r="L28" s="8">
        <v>-2143</v>
      </c>
      <c r="M28" s="8">
        <v>49</v>
      </c>
      <c r="N28" s="6"/>
    </row>
    <row r="29" spans="1:14">
      <c r="A29" s="5" t="s">
        <v>93</v>
      </c>
      <c r="B29" s="6">
        <v>2</v>
      </c>
      <c r="C29" s="5" t="s">
        <v>94</v>
      </c>
      <c r="D29" s="7">
        <v>-34.5961006</v>
      </c>
      <c r="E29" s="7">
        <v>-58.4046092</v>
      </c>
      <c r="F29" s="8">
        <v>12440</v>
      </c>
      <c r="G29" s="9">
        <v>0.1133440514469453</v>
      </c>
      <c r="H29" s="9">
        <v>0.07049839228295821</v>
      </c>
      <c r="I29" s="10">
        <v>13.65</v>
      </c>
      <c r="J29" s="9">
        <v>0.307556270096463</v>
      </c>
      <c r="K29" s="8">
        <v>13261</v>
      </c>
      <c r="L29" s="8">
        <v>821</v>
      </c>
      <c r="M29" s="8">
        <v>36</v>
      </c>
      <c r="N29" s="6"/>
    </row>
    <row r="30" spans="1:14">
      <c r="A30" s="5" t="s">
        <v>95</v>
      </c>
      <c r="B30" s="6">
        <v>14</v>
      </c>
      <c r="C30" s="5" t="s">
        <v>96</v>
      </c>
      <c r="D30" s="7">
        <v>-34.5894269</v>
      </c>
      <c r="E30" s="7">
        <v>-58.4161178</v>
      </c>
      <c r="F30" s="8">
        <v>12154</v>
      </c>
      <c r="G30" s="9">
        <v>0.1634029948987988</v>
      </c>
      <c r="H30" s="9">
        <v>0.07084087543195655</v>
      </c>
      <c r="I30" s="10">
        <v>12.9</v>
      </c>
      <c r="J30" s="9">
        <v>0.3453184136909659</v>
      </c>
      <c r="K30" s="8">
        <v>11029</v>
      </c>
      <c r="L30" s="8">
        <v>-1125</v>
      </c>
      <c r="M30" s="8">
        <v>46</v>
      </c>
      <c r="N30" s="6" t="s">
        <v>48</v>
      </c>
    </row>
    <row r="31" spans="1:14">
      <c r="A31" s="5" t="s">
        <v>97</v>
      </c>
      <c r="B31" s="6">
        <v>2</v>
      </c>
      <c r="C31" s="5" t="s">
        <v>98</v>
      </c>
      <c r="D31" s="7">
        <v>-34.5970909</v>
      </c>
      <c r="E31" s="7">
        <v>-58.3989807</v>
      </c>
      <c r="F31" s="8">
        <v>12084</v>
      </c>
      <c r="G31" s="9">
        <v>0.09491890102615028</v>
      </c>
      <c r="H31" s="9">
        <v>0.04311486262826879</v>
      </c>
      <c r="I31" s="10">
        <v>12.85</v>
      </c>
      <c r="J31" s="9">
        <v>0.2185534591194969</v>
      </c>
      <c r="K31" s="8">
        <v>12779</v>
      </c>
      <c r="L31" s="8">
        <v>695</v>
      </c>
      <c r="M31" s="8">
        <v>16</v>
      </c>
      <c r="N31" s="6"/>
    </row>
    <row r="32" spans="1:14">
      <c r="A32" s="5" t="s">
        <v>99</v>
      </c>
      <c r="B32" s="6">
        <v>1</v>
      </c>
      <c r="C32" s="5" t="s">
        <v>100</v>
      </c>
      <c r="D32" s="7">
        <v>-34.61955283137281</v>
      </c>
      <c r="E32" s="7">
        <v>-58.37315930476108</v>
      </c>
      <c r="F32" s="8">
        <v>11941</v>
      </c>
      <c r="G32" s="9">
        <v>0.2105351310610502</v>
      </c>
      <c r="H32" s="9">
        <v>0.06381375094213215</v>
      </c>
      <c r="I32" s="10">
        <v>14.55</v>
      </c>
      <c r="J32" s="9">
        <v>0.3009798174357257</v>
      </c>
      <c r="K32" s="8">
        <v>11589</v>
      </c>
      <c r="L32" s="8">
        <v>-352</v>
      </c>
      <c r="M32" s="8">
        <v>60</v>
      </c>
      <c r="N32" s="6"/>
    </row>
    <row r="33" spans="1:14">
      <c r="A33" s="5" t="s">
        <v>101</v>
      </c>
      <c r="B33" s="6">
        <v>1</v>
      </c>
      <c r="C33" s="5" t="s">
        <v>102</v>
      </c>
      <c r="D33" s="7">
        <v>-34.6026673</v>
      </c>
      <c r="E33" s="7">
        <v>-58.38335590000001</v>
      </c>
      <c r="F33" s="8">
        <v>11933</v>
      </c>
      <c r="G33" s="9">
        <v>0.1759825693455125</v>
      </c>
      <c r="H33" s="9">
        <v>0.08405262716835665</v>
      </c>
      <c r="I33" s="10">
        <v>14.36666666666667</v>
      </c>
      <c r="J33" s="9">
        <v>0.2115980893321042</v>
      </c>
      <c r="K33" s="8">
        <v>10038</v>
      </c>
      <c r="L33" s="8">
        <v>-1895</v>
      </c>
      <c r="M33" s="8">
        <v>62</v>
      </c>
      <c r="N33" s="6"/>
    </row>
    <row r="34" spans="1:14">
      <c r="A34" s="5" t="s">
        <v>103</v>
      </c>
      <c r="B34" s="6">
        <v>1</v>
      </c>
      <c r="C34" s="5" t="s">
        <v>104</v>
      </c>
      <c r="D34" s="7">
        <v>-34.603269</v>
      </c>
      <c r="E34" s="7">
        <v>-58.3893728</v>
      </c>
      <c r="F34" s="8">
        <v>11481</v>
      </c>
      <c r="G34" s="9">
        <v>0.1268182214092849</v>
      </c>
      <c r="H34" s="9">
        <v>0.05609267485410679</v>
      </c>
      <c r="I34" s="10">
        <v>13.98333333333333</v>
      </c>
      <c r="J34" s="9">
        <v>0.2627819876317394</v>
      </c>
      <c r="K34" s="8">
        <v>10769</v>
      </c>
      <c r="L34" s="8">
        <v>-712</v>
      </c>
      <c r="M34" s="8">
        <v>37</v>
      </c>
      <c r="N34" s="6"/>
    </row>
    <row r="35" spans="1:14">
      <c r="A35" s="5" t="s">
        <v>105</v>
      </c>
      <c r="B35" s="6">
        <v>1</v>
      </c>
      <c r="C35" s="5" t="s">
        <v>106</v>
      </c>
      <c r="D35" s="7">
        <v>-34.617301</v>
      </c>
      <c r="E35" s="7">
        <v>-58.3698984</v>
      </c>
      <c r="F35" s="8">
        <v>11403</v>
      </c>
      <c r="G35" s="9">
        <v>0.1312812417784794</v>
      </c>
      <c r="H35" s="9">
        <v>0.06086117688327633</v>
      </c>
      <c r="I35" s="10">
        <v>10.96666666666667</v>
      </c>
      <c r="J35" s="9">
        <v>0.2457248092607209</v>
      </c>
      <c r="K35" s="8">
        <v>11309</v>
      </c>
      <c r="L35" s="8">
        <v>-94</v>
      </c>
      <c r="M35" s="8">
        <v>26</v>
      </c>
      <c r="N35" s="6"/>
    </row>
    <row r="36" spans="1:14">
      <c r="A36" s="5" t="s">
        <v>107</v>
      </c>
      <c r="B36" s="6">
        <v>1</v>
      </c>
      <c r="C36" s="5" t="s">
        <v>108</v>
      </c>
      <c r="D36" s="7">
        <v>-34.6155977</v>
      </c>
      <c r="E36" s="7">
        <v>-58.3674923</v>
      </c>
      <c r="F36" s="8">
        <v>11387</v>
      </c>
      <c r="G36" s="9">
        <v>0.08904891542987617</v>
      </c>
      <c r="H36" s="9">
        <v>0.06481074909985071</v>
      </c>
      <c r="I36" s="10">
        <v>11.03333333333333</v>
      </c>
      <c r="J36" s="9">
        <v>0.1935540528673048</v>
      </c>
      <c r="K36" s="8">
        <v>10735</v>
      </c>
      <c r="L36" s="8">
        <v>-652</v>
      </c>
      <c r="M36" s="8">
        <v>17</v>
      </c>
      <c r="N36" s="6"/>
    </row>
    <row r="37" spans="1:14">
      <c r="A37" s="5" t="s">
        <v>109</v>
      </c>
      <c r="B37" s="6">
        <v>2</v>
      </c>
      <c r="C37" s="5" t="s">
        <v>110</v>
      </c>
      <c r="D37" s="7">
        <v>-34.5936508</v>
      </c>
      <c r="E37" s="7">
        <v>-58.3941087</v>
      </c>
      <c r="F37" s="8">
        <v>11305</v>
      </c>
      <c r="G37" s="9">
        <v>0.1552410437859354</v>
      </c>
      <c r="H37" s="9">
        <v>0.04962406015037594</v>
      </c>
      <c r="I37" s="10">
        <v>12.66666666666667</v>
      </c>
      <c r="J37" s="9">
        <v>0.2988942945599292</v>
      </c>
      <c r="K37" s="8">
        <v>11205</v>
      </c>
      <c r="L37" s="8">
        <v>-100</v>
      </c>
      <c r="M37" s="8">
        <v>34</v>
      </c>
      <c r="N37" s="6"/>
    </row>
    <row r="38" spans="1:14">
      <c r="A38" s="5" t="s">
        <v>111</v>
      </c>
      <c r="B38" s="6">
        <v>1</v>
      </c>
      <c r="C38" s="5" t="s">
        <v>112</v>
      </c>
      <c r="D38" s="7">
        <v>-34.628526</v>
      </c>
      <c r="E38" s="7">
        <v>-58.369758</v>
      </c>
      <c r="F38" s="8">
        <v>11062</v>
      </c>
      <c r="G38" s="9">
        <v>0.1308081721207738</v>
      </c>
      <c r="H38" s="9">
        <v>0.1307177725546917</v>
      </c>
      <c r="I38" s="10">
        <v>15.58333333333333</v>
      </c>
      <c r="J38" s="9">
        <v>0.2992225637316941</v>
      </c>
      <c r="K38" s="8">
        <v>13875</v>
      </c>
      <c r="L38" s="8">
        <v>2813</v>
      </c>
      <c r="M38" s="8">
        <v>66</v>
      </c>
      <c r="N38" s="6" t="s">
        <v>48</v>
      </c>
    </row>
    <row r="39" spans="1:14">
      <c r="A39" s="5" t="s">
        <v>113</v>
      </c>
      <c r="B39" s="6">
        <v>1</v>
      </c>
      <c r="C39" s="5" t="s">
        <v>114</v>
      </c>
      <c r="D39" s="7">
        <v>-34.5964246</v>
      </c>
      <c r="E39" s="7">
        <v>-58.371847</v>
      </c>
      <c r="F39" s="8">
        <v>11000</v>
      </c>
      <c r="G39" s="9">
        <v>0.05736363636363637</v>
      </c>
      <c r="H39" s="9">
        <v>0.03345454545454545</v>
      </c>
      <c r="I39" s="10">
        <v>12.08333333333333</v>
      </c>
      <c r="J39" s="9">
        <v>0.142</v>
      </c>
      <c r="K39" s="8">
        <v>10853</v>
      </c>
      <c r="L39" s="8">
        <v>-147</v>
      </c>
      <c r="M39" s="8">
        <v>8</v>
      </c>
      <c r="N39" s="6"/>
    </row>
    <row r="40" spans="1:14">
      <c r="A40" s="5" t="s">
        <v>115</v>
      </c>
      <c r="B40" s="6">
        <v>2</v>
      </c>
      <c r="C40" s="5" t="s">
        <v>116</v>
      </c>
      <c r="D40" s="7">
        <v>-34.5945475</v>
      </c>
      <c r="E40" s="7">
        <v>-58.4138713</v>
      </c>
      <c r="F40" s="8">
        <v>10892</v>
      </c>
      <c r="G40" s="9">
        <v>0.1561696658097686</v>
      </c>
      <c r="H40" s="9">
        <v>0.0691333088505325</v>
      </c>
      <c r="I40" s="10">
        <v>13.375</v>
      </c>
      <c r="J40" s="9">
        <v>0.3165626147631289</v>
      </c>
      <c r="K40" s="8">
        <v>10953</v>
      </c>
      <c r="L40" s="8">
        <v>61</v>
      </c>
      <c r="M40" s="8">
        <v>47</v>
      </c>
      <c r="N40" s="6"/>
    </row>
    <row r="41" spans="1:14">
      <c r="A41" s="5" t="s">
        <v>117</v>
      </c>
      <c r="B41" s="6">
        <v>14</v>
      </c>
      <c r="C41" s="5" t="s">
        <v>118</v>
      </c>
      <c r="D41" s="7">
        <v>-34.585878</v>
      </c>
      <c r="E41" s="7">
        <v>-58.42499599999999</v>
      </c>
      <c r="F41" s="8">
        <v>10574</v>
      </c>
      <c r="G41" s="9">
        <v>0.1955740495555135</v>
      </c>
      <c r="H41" s="9">
        <v>0.08170985435975033</v>
      </c>
      <c r="I41" s="10">
        <v>14.49166666666667</v>
      </c>
      <c r="J41" s="9">
        <v>0.3219216947229052</v>
      </c>
      <c r="K41" s="8">
        <v>10479</v>
      </c>
      <c r="L41" s="8">
        <v>-95</v>
      </c>
      <c r="M41" s="8">
        <v>64</v>
      </c>
      <c r="N41" s="6"/>
    </row>
    <row r="42" spans="1:14">
      <c r="A42" s="5" t="s">
        <v>119</v>
      </c>
      <c r="B42" s="6">
        <v>14</v>
      </c>
      <c r="C42" s="5" t="s">
        <v>120</v>
      </c>
      <c r="D42" s="7">
        <v>-34.572165</v>
      </c>
      <c r="E42" s="7">
        <v>-58.411278</v>
      </c>
      <c r="F42" s="8">
        <v>10534</v>
      </c>
      <c r="G42" s="9">
        <v>0.3383330168976647</v>
      </c>
      <c r="H42" s="9">
        <v>0.1443895955952155</v>
      </c>
      <c r="I42" s="10">
        <v>21.56666666666667</v>
      </c>
      <c r="J42" s="9">
        <v>0.3698500094930701</v>
      </c>
      <c r="K42" s="8">
        <v>10571</v>
      </c>
      <c r="L42" s="8">
        <v>37</v>
      </c>
      <c r="M42" s="8">
        <v>93</v>
      </c>
      <c r="N42" s="6"/>
    </row>
    <row r="43" spans="1:14">
      <c r="A43" s="5" t="s">
        <v>121</v>
      </c>
      <c r="B43" s="6">
        <v>14</v>
      </c>
      <c r="C43" s="5" t="s">
        <v>122</v>
      </c>
      <c r="D43" s="7">
        <v>-34.5602</v>
      </c>
      <c r="E43" s="7">
        <v>-58.4281</v>
      </c>
      <c r="F43" s="8">
        <v>10532</v>
      </c>
      <c r="G43" s="9">
        <v>0.4035320926699582</v>
      </c>
      <c r="H43" s="9">
        <v>0.1991074819597417</v>
      </c>
      <c r="I43" s="10">
        <v>23.76666666666667</v>
      </c>
      <c r="J43" s="9">
        <v>0.3930877326243828</v>
      </c>
      <c r="K43" s="8">
        <v>10303</v>
      </c>
      <c r="L43" s="8">
        <v>-229</v>
      </c>
      <c r="M43" s="8">
        <v>98</v>
      </c>
      <c r="N43" s="6"/>
    </row>
    <row r="44" spans="1:14">
      <c r="A44" s="5" t="s">
        <v>123</v>
      </c>
      <c r="B44" s="6">
        <v>1</v>
      </c>
      <c r="C44" s="5" t="s">
        <v>124</v>
      </c>
      <c r="D44" s="7">
        <v>-34.625426</v>
      </c>
      <c r="E44" s="7">
        <v>-58.371082</v>
      </c>
      <c r="F44" s="8">
        <v>10531</v>
      </c>
      <c r="G44" s="9">
        <v>0.1475643338714272</v>
      </c>
      <c r="H44" s="9">
        <v>0.07739056120026588</v>
      </c>
      <c r="I44" s="10">
        <v>12.41666666666667</v>
      </c>
      <c r="J44" s="9">
        <v>0.3320672300826132</v>
      </c>
      <c r="K44" s="8">
        <v>10307</v>
      </c>
      <c r="L44" s="8">
        <v>-224</v>
      </c>
      <c r="M44" s="8">
        <v>42</v>
      </c>
      <c r="N44" s="6"/>
    </row>
    <row r="45" spans="1:14">
      <c r="A45" s="5" t="s">
        <v>125</v>
      </c>
      <c r="B45" s="6">
        <v>1</v>
      </c>
      <c r="C45" s="5" t="s">
        <v>126</v>
      </c>
      <c r="D45" s="7">
        <v>-34.5970497</v>
      </c>
      <c r="E45" s="7">
        <v>-58.38284030000001</v>
      </c>
      <c r="F45" s="8">
        <v>10163</v>
      </c>
      <c r="G45" s="9">
        <v>0.1157138640165306</v>
      </c>
      <c r="H45" s="9">
        <v>0.04555741414936534</v>
      </c>
      <c r="I45" s="10">
        <v>11.9</v>
      </c>
      <c r="J45" s="9">
        <v>0.2104693496014956</v>
      </c>
      <c r="K45" s="8">
        <v>9990</v>
      </c>
      <c r="L45" s="8">
        <v>-173</v>
      </c>
      <c r="M45" s="8">
        <v>17</v>
      </c>
      <c r="N45" s="6" t="s">
        <v>48</v>
      </c>
    </row>
    <row r="46" spans="1:14">
      <c r="A46" s="5" t="s">
        <v>127</v>
      </c>
      <c r="B46" s="6">
        <v>2</v>
      </c>
      <c r="C46" s="5" t="s">
        <v>128</v>
      </c>
      <c r="D46" s="7">
        <v>-34.5927096</v>
      </c>
      <c r="E46" s="7">
        <v>-58.388807</v>
      </c>
      <c r="F46" s="8">
        <v>10142</v>
      </c>
      <c r="G46" s="9">
        <v>0.1461250246499704</v>
      </c>
      <c r="H46" s="9">
        <v>0.06231512522184973</v>
      </c>
      <c r="I46" s="10">
        <v>13.83333333333333</v>
      </c>
      <c r="J46" s="9">
        <v>0.288207454151055</v>
      </c>
      <c r="K46" s="8">
        <v>10234</v>
      </c>
      <c r="L46" s="8">
        <v>92</v>
      </c>
      <c r="M46" s="8">
        <v>42</v>
      </c>
      <c r="N46" s="6" t="s">
        <v>48</v>
      </c>
    </row>
    <row r="47" spans="1:14">
      <c r="A47" s="5" t="s">
        <v>129</v>
      </c>
      <c r="B47" s="6">
        <v>1</v>
      </c>
      <c r="C47" s="5" t="s">
        <v>130</v>
      </c>
      <c r="D47" s="7">
        <v>-34.600752</v>
      </c>
      <c r="E47" s="7">
        <v>-58.3638723</v>
      </c>
      <c r="F47" s="8">
        <v>10003</v>
      </c>
      <c r="G47" s="9">
        <v>0.1190642807157853</v>
      </c>
      <c r="H47" s="9">
        <v>0.06927921623512946</v>
      </c>
      <c r="I47" s="10">
        <v>9.633333333333333</v>
      </c>
      <c r="J47" s="9">
        <v>0.1539538138558433</v>
      </c>
      <c r="K47" s="8">
        <v>10123</v>
      </c>
      <c r="L47" s="8">
        <v>120</v>
      </c>
      <c r="M47" s="8">
        <v>26</v>
      </c>
      <c r="N47" s="6"/>
    </row>
    <row r="48" spans="1:14">
      <c r="A48" s="5" t="s">
        <v>131</v>
      </c>
      <c r="B48" s="6">
        <v>1</v>
      </c>
      <c r="C48" s="5" t="s">
        <v>132</v>
      </c>
      <c r="D48" s="7">
        <v>-34.5976425</v>
      </c>
      <c r="E48" s="7">
        <v>-58.378363</v>
      </c>
      <c r="F48" s="8">
        <v>9989</v>
      </c>
      <c r="G48" s="9">
        <v>0.1057162879167084</v>
      </c>
      <c r="H48" s="9">
        <v>0.1121233356692362</v>
      </c>
      <c r="I48" s="10">
        <v>13.16666666666667</v>
      </c>
      <c r="J48" s="9">
        <v>0.1801982180398438</v>
      </c>
      <c r="K48" s="8">
        <v>9775</v>
      </c>
      <c r="L48" s="8">
        <v>-214</v>
      </c>
      <c r="M48" s="8">
        <v>44</v>
      </c>
      <c r="N48" s="6"/>
    </row>
    <row r="49" spans="1:14">
      <c r="A49" s="5" t="s">
        <v>133</v>
      </c>
      <c r="B49" s="6">
        <v>2</v>
      </c>
      <c r="C49" s="5" t="s">
        <v>134</v>
      </c>
      <c r="D49" s="7">
        <v>-34.599068</v>
      </c>
      <c r="E49" s="7">
        <v>-58.3900887</v>
      </c>
      <c r="F49" s="8">
        <v>9984</v>
      </c>
      <c r="G49" s="9">
        <v>0.09815705128205128</v>
      </c>
      <c r="H49" s="9">
        <v>0.04336939102564102</v>
      </c>
      <c r="I49" s="10">
        <v>12.3</v>
      </c>
      <c r="J49" s="9">
        <v>0.2340745192307692</v>
      </c>
      <c r="K49" s="8">
        <v>10015</v>
      </c>
      <c r="L49" s="8">
        <v>31</v>
      </c>
      <c r="M49" s="8">
        <v>14</v>
      </c>
      <c r="N49" s="6"/>
    </row>
    <row r="50" spans="1:14">
      <c r="A50" s="5" t="s">
        <v>135</v>
      </c>
      <c r="B50" s="6">
        <v>2</v>
      </c>
      <c r="C50" s="5" t="s">
        <v>136</v>
      </c>
      <c r="D50" s="7">
        <v>-34.59147195496799</v>
      </c>
      <c r="E50" s="7">
        <v>-58.40128182310524</v>
      </c>
      <c r="F50" s="8">
        <v>9978</v>
      </c>
      <c r="G50" s="9">
        <v>0.1365003006614552</v>
      </c>
      <c r="H50" s="9">
        <v>0.04940869913810383</v>
      </c>
      <c r="I50" s="10">
        <v>13.36666666666667</v>
      </c>
      <c r="J50" s="9">
        <v>0.3026658649027861</v>
      </c>
      <c r="K50" s="8">
        <v>10529</v>
      </c>
      <c r="L50" s="8">
        <v>551</v>
      </c>
      <c r="M50" s="8">
        <v>33</v>
      </c>
      <c r="N50" s="6"/>
    </row>
    <row r="51" spans="1:14">
      <c r="A51" s="5" t="s">
        <v>137</v>
      </c>
      <c r="B51" s="6">
        <v>2</v>
      </c>
      <c r="C51" s="5" t="s">
        <v>138</v>
      </c>
      <c r="D51" s="7">
        <v>-34.597225</v>
      </c>
      <c r="E51" s="7">
        <v>-58.39176799999999</v>
      </c>
      <c r="F51" s="8">
        <v>9897</v>
      </c>
      <c r="G51" s="9">
        <v>0.1317570981105385</v>
      </c>
      <c r="H51" s="9">
        <v>0.05557239567545721</v>
      </c>
      <c r="I51" s="10">
        <v>13.06666666666667</v>
      </c>
      <c r="J51" s="9">
        <v>0.2710922501768213</v>
      </c>
      <c r="K51" s="8">
        <v>9558</v>
      </c>
      <c r="L51" s="8">
        <v>-339</v>
      </c>
      <c r="M51" s="8">
        <v>32</v>
      </c>
      <c r="N51" s="6"/>
    </row>
    <row r="52" spans="1:14">
      <c r="A52" s="5" t="s">
        <v>139</v>
      </c>
      <c r="B52" s="6">
        <v>1</v>
      </c>
      <c r="C52" s="5" t="s">
        <v>140</v>
      </c>
      <c r="D52" s="7">
        <v>-34.60674458045258</v>
      </c>
      <c r="E52" s="7">
        <v>-58.37365550287733</v>
      </c>
      <c r="F52" s="8">
        <v>9674</v>
      </c>
      <c r="G52" s="9">
        <v>0.05519950382468472</v>
      </c>
      <c r="H52" s="9">
        <v>0.02449865619185446</v>
      </c>
      <c r="I52" s="10">
        <v>9.466666666666667</v>
      </c>
      <c r="J52" s="9">
        <v>0.1049204052098408</v>
      </c>
      <c r="K52" s="8">
        <v>9333</v>
      </c>
      <c r="L52" s="8">
        <v>-341</v>
      </c>
      <c r="M52" s="8">
        <v>2</v>
      </c>
      <c r="N52" s="6"/>
    </row>
    <row r="53" spans="1:14">
      <c r="A53" s="5" t="s">
        <v>141</v>
      </c>
      <c r="B53" s="6">
        <v>14</v>
      </c>
      <c r="C53" s="5" t="s">
        <v>142</v>
      </c>
      <c r="D53" s="7">
        <v>-34.5873124</v>
      </c>
      <c r="E53" s="7">
        <v>-58.4157873</v>
      </c>
      <c r="F53" s="8">
        <v>9510</v>
      </c>
      <c r="G53" s="9">
        <v>0.1465825446898002</v>
      </c>
      <c r="H53" s="9">
        <v>0.05814931650893796</v>
      </c>
      <c r="I53" s="10">
        <v>12.24166666666667</v>
      </c>
      <c r="J53" s="9">
        <v>0.3270241850683491</v>
      </c>
      <c r="K53" s="8">
        <v>9743</v>
      </c>
      <c r="L53" s="8">
        <v>233</v>
      </c>
      <c r="M53" s="8">
        <v>32</v>
      </c>
      <c r="N53" s="6"/>
    </row>
    <row r="54" spans="1:14">
      <c r="A54" s="5" t="s">
        <v>143</v>
      </c>
      <c r="B54" s="6">
        <v>2</v>
      </c>
      <c r="C54" s="5" t="s">
        <v>144</v>
      </c>
      <c r="D54" s="7">
        <v>-34.5948057</v>
      </c>
      <c r="E54" s="7">
        <v>-58.4091784</v>
      </c>
      <c r="F54" s="8">
        <v>9431</v>
      </c>
      <c r="G54" s="9">
        <v>0.1327536846569823</v>
      </c>
      <c r="H54" s="9">
        <v>0.0475029159155975</v>
      </c>
      <c r="I54" s="10">
        <v>11.26666666666667</v>
      </c>
      <c r="J54" s="9">
        <v>0.3180998833633761</v>
      </c>
      <c r="K54" s="8">
        <v>9936</v>
      </c>
      <c r="L54" s="8">
        <v>505</v>
      </c>
      <c r="M54" s="8">
        <v>22</v>
      </c>
      <c r="N54" s="6"/>
    </row>
    <row r="55" spans="1:14">
      <c r="A55" s="5" t="s">
        <v>145</v>
      </c>
      <c r="B55" s="6">
        <v>1</v>
      </c>
      <c r="C55" s="5" t="s">
        <v>146</v>
      </c>
      <c r="D55" s="7">
        <v>-34.6033685</v>
      </c>
      <c r="E55" s="7">
        <v>-58.372763</v>
      </c>
      <c r="F55" s="8">
        <v>9418</v>
      </c>
      <c r="G55" s="9">
        <v>0.07337014228073901</v>
      </c>
      <c r="H55" s="9">
        <v>0.04342747929496708</v>
      </c>
      <c r="I55" s="10">
        <v>11.225</v>
      </c>
      <c r="J55" s="9">
        <v>0.1413251221066044</v>
      </c>
      <c r="K55" s="8">
        <v>8728</v>
      </c>
      <c r="L55" s="8">
        <v>-690</v>
      </c>
      <c r="M55" s="8">
        <v>9</v>
      </c>
      <c r="N55" s="6"/>
    </row>
    <row r="56" spans="1:14">
      <c r="A56" s="5" t="s">
        <v>147</v>
      </c>
      <c r="B56" s="6">
        <v>14</v>
      </c>
      <c r="C56" s="5" t="s">
        <v>148</v>
      </c>
      <c r="D56" s="7">
        <v>-34.5825475</v>
      </c>
      <c r="E56" s="7">
        <v>-58.4056671</v>
      </c>
      <c r="F56" s="8">
        <v>9345</v>
      </c>
      <c r="G56" s="9">
        <v>0.1705724986623863</v>
      </c>
      <c r="H56" s="9">
        <v>0.07929373996789728</v>
      </c>
      <c r="I56" s="10">
        <v>14.73333333333333</v>
      </c>
      <c r="J56" s="9">
        <v>0.2882825040128411</v>
      </c>
      <c r="K56" s="8">
        <v>9143</v>
      </c>
      <c r="L56" s="8">
        <v>-202</v>
      </c>
      <c r="M56" s="8">
        <v>62</v>
      </c>
      <c r="N56" s="6"/>
    </row>
    <row r="57" spans="1:14">
      <c r="A57" s="5" t="s">
        <v>149</v>
      </c>
      <c r="B57" s="6">
        <v>1</v>
      </c>
      <c r="C57" s="5" t="s">
        <v>150</v>
      </c>
      <c r="D57" s="7">
        <v>-34.59242413</v>
      </c>
      <c r="E57" s="7">
        <v>-58.37470988999999</v>
      </c>
      <c r="F57" s="8">
        <v>9151</v>
      </c>
      <c r="G57" s="9">
        <v>0.08414380941973555</v>
      </c>
      <c r="H57" s="9">
        <v>0.03289258004589662</v>
      </c>
      <c r="I57" s="10">
        <v>13.3</v>
      </c>
      <c r="J57" s="9">
        <v>0.2352748333515463</v>
      </c>
      <c r="K57" s="8">
        <v>9962</v>
      </c>
      <c r="L57" s="8">
        <v>811</v>
      </c>
      <c r="M57" s="8">
        <v>16</v>
      </c>
      <c r="N57" s="6"/>
    </row>
    <row r="58" spans="1:14">
      <c r="A58" s="5" t="s">
        <v>151</v>
      </c>
      <c r="B58" s="6">
        <v>4</v>
      </c>
      <c r="C58" s="5" t="s">
        <v>152</v>
      </c>
      <c r="D58" s="7">
        <v>-34.6446835804428</v>
      </c>
      <c r="E58" s="7">
        <v>-58.39387590287583</v>
      </c>
      <c r="F58" s="8">
        <v>9107</v>
      </c>
      <c r="G58" s="9">
        <v>0.1469199516855166</v>
      </c>
      <c r="H58" s="9">
        <v>0.2574942352036895</v>
      </c>
      <c r="I58" s="10">
        <v>15.93333333333333</v>
      </c>
      <c r="J58" s="9">
        <v>0.3195344240693972</v>
      </c>
      <c r="K58" s="8">
        <v>9896</v>
      </c>
      <c r="L58" s="8">
        <v>789</v>
      </c>
      <c r="M58" s="8">
        <v>77</v>
      </c>
      <c r="N58" s="6"/>
    </row>
    <row r="59" spans="1:14">
      <c r="A59" s="5" t="s">
        <v>153</v>
      </c>
      <c r="B59" s="6">
        <v>4</v>
      </c>
      <c r="C59" s="5" t="s">
        <v>154</v>
      </c>
      <c r="D59" s="7">
        <v>-34.6371232</v>
      </c>
      <c r="E59" s="7">
        <v>-58.40588830000001</v>
      </c>
      <c r="F59" s="8">
        <v>9055</v>
      </c>
      <c r="G59" s="9">
        <v>0.1144119271120928</v>
      </c>
      <c r="H59" s="9">
        <v>0.1966869133075649</v>
      </c>
      <c r="I59" s="10">
        <v>14.83333333333333</v>
      </c>
      <c r="J59" s="9">
        <v>0.3878520154610712</v>
      </c>
      <c r="K59" s="8">
        <v>8904</v>
      </c>
      <c r="L59" s="8">
        <v>-151</v>
      </c>
      <c r="M59" s="8">
        <v>62</v>
      </c>
      <c r="N59" s="6" t="s">
        <v>48</v>
      </c>
    </row>
    <row r="60" spans="1:14">
      <c r="A60" s="5" t="s">
        <v>155</v>
      </c>
      <c r="B60" s="6">
        <v>1</v>
      </c>
      <c r="C60" s="5" t="s">
        <v>156</v>
      </c>
      <c r="D60" s="7">
        <v>-34.6164879</v>
      </c>
      <c r="E60" s="7">
        <v>-58.3656683</v>
      </c>
      <c r="F60" s="8">
        <v>8952</v>
      </c>
      <c r="G60" s="9">
        <v>0.1363941018766756</v>
      </c>
      <c r="H60" s="9">
        <v>0.05953976764968722</v>
      </c>
      <c r="I60" s="10">
        <v>11.91666666666667</v>
      </c>
      <c r="J60" s="9">
        <v>0.2763628239499553</v>
      </c>
      <c r="K60" s="8">
        <v>9420</v>
      </c>
      <c r="L60" s="8">
        <v>468</v>
      </c>
      <c r="M60" s="8">
        <v>29</v>
      </c>
      <c r="N60" s="6"/>
    </row>
    <row r="61" spans="1:14">
      <c r="A61" s="5" t="s">
        <v>157</v>
      </c>
      <c r="B61" s="6">
        <v>1</v>
      </c>
      <c r="C61" s="5" t="s">
        <v>158</v>
      </c>
      <c r="D61" s="7">
        <v>-34.58209</v>
      </c>
      <c r="E61" s="7">
        <v>-58.3788</v>
      </c>
      <c r="F61" s="8">
        <v>8895</v>
      </c>
      <c r="G61" s="9">
        <v>0.1105115233277122</v>
      </c>
      <c r="H61" s="9">
        <v>0.1815626756604834</v>
      </c>
      <c r="I61" s="10">
        <v>14.73333333333333</v>
      </c>
      <c r="J61" s="9">
        <v>0.2103428892636313</v>
      </c>
      <c r="K61" s="8">
        <v>9452</v>
      </c>
      <c r="L61" s="8">
        <v>557</v>
      </c>
      <c r="M61" s="8">
        <v>59</v>
      </c>
      <c r="N61" s="6"/>
    </row>
    <row r="62" spans="1:14">
      <c r="A62" s="5" t="s">
        <v>159</v>
      </c>
      <c r="B62" s="6">
        <v>2</v>
      </c>
      <c r="C62" s="5" t="s">
        <v>160</v>
      </c>
      <c r="D62" s="7">
        <v>-34.5886889</v>
      </c>
      <c r="E62" s="7">
        <v>-58.3852113</v>
      </c>
      <c r="F62" s="8">
        <v>8858</v>
      </c>
      <c r="G62" s="9">
        <v>0.1480018062768119</v>
      </c>
      <c r="H62" s="9">
        <v>0.05486565816211334</v>
      </c>
      <c r="I62" s="10">
        <v>14.89166666666667</v>
      </c>
      <c r="J62" s="9">
        <v>0.2926168435312712</v>
      </c>
      <c r="K62" s="8">
        <v>8922</v>
      </c>
      <c r="L62" s="8">
        <v>64</v>
      </c>
      <c r="M62" s="8">
        <v>49</v>
      </c>
      <c r="N62" s="6"/>
    </row>
    <row r="63" spans="1:14">
      <c r="A63" s="5" t="s">
        <v>161</v>
      </c>
      <c r="B63" s="6">
        <v>4</v>
      </c>
      <c r="C63" s="5" t="s">
        <v>162</v>
      </c>
      <c r="D63" s="7">
        <v>-34.637697</v>
      </c>
      <c r="E63" s="7">
        <v>-58.373726</v>
      </c>
      <c r="F63" s="8">
        <v>8782</v>
      </c>
      <c r="G63" s="9">
        <v>0.1332270553404691</v>
      </c>
      <c r="H63" s="9">
        <v>0.08984286039626509</v>
      </c>
      <c r="I63" s="10">
        <v>15.6</v>
      </c>
      <c r="J63" s="9">
        <v>0.2741972215896151</v>
      </c>
      <c r="K63" s="8">
        <v>9894</v>
      </c>
      <c r="L63" s="8">
        <v>1112</v>
      </c>
      <c r="M63" s="8">
        <v>61</v>
      </c>
      <c r="N63" s="6"/>
    </row>
    <row r="64" spans="1:14">
      <c r="A64" s="5" t="s">
        <v>163</v>
      </c>
      <c r="B64" s="6">
        <v>14</v>
      </c>
      <c r="C64" s="5" t="s">
        <v>164</v>
      </c>
      <c r="D64" s="7">
        <v>-34.5837348</v>
      </c>
      <c r="E64" s="7">
        <v>-58.4010798</v>
      </c>
      <c r="F64" s="8">
        <v>8750</v>
      </c>
      <c r="G64" s="9">
        <v>0.1724571428571429</v>
      </c>
      <c r="H64" s="9">
        <v>0.08125714285714286</v>
      </c>
      <c r="I64" s="10">
        <v>16.175</v>
      </c>
      <c r="J64" s="9">
        <v>0.3294857142857143</v>
      </c>
      <c r="K64" s="8">
        <v>9204</v>
      </c>
      <c r="L64" s="8">
        <v>454</v>
      </c>
      <c r="M64" s="8">
        <v>69</v>
      </c>
      <c r="N64" s="6"/>
    </row>
    <row r="65" spans="1:14">
      <c r="A65" s="5" t="s">
        <v>165</v>
      </c>
      <c r="B65" s="6">
        <v>14</v>
      </c>
      <c r="C65" s="5" t="s">
        <v>166</v>
      </c>
      <c r="D65" s="7">
        <v>-34.589968</v>
      </c>
      <c r="E65" s="7">
        <v>-58.411493</v>
      </c>
      <c r="F65" s="8">
        <v>8743</v>
      </c>
      <c r="G65" s="9">
        <v>0.1708795607914903</v>
      </c>
      <c r="H65" s="9">
        <v>0.05730298524533913</v>
      </c>
      <c r="I65" s="10">
        <v>13.93333333333333</v>
      </c>
      <c r="J65" s="9">
        <v>0.3438179114720348</v>
      </c>
      <c r="K65" s="8">
        <v>8709</v>
      </c>
      <c r="L65" s="8">
        <v>-34</v>
      </c>
      <c r="M65" s="8">
        <v>47</v>
      </c>
      <c r="N65" s="6"/>
    </row>
    <row r="66" spans="1:14">
      <c r="A66" s="5" t="s">
        <v>167</v>
      </c>
      <c r="B66" s="6">
        <v>4</v>
      </c>
      <c r="C66" s="5" t="s">
        <v>168</v>
      </c>
      <c r="D66" s="7">
        <v>-34.6310284</v>
      </c>
      <c r="E66" s="7">
        <v>-58.36288800000001</v>
      </c>
      <c r="F66" s="8">
        <v>8581</v>
      </c>
      <c r="G66" s="9">
        <v>0.143456473604475</v>
      </c>
      <c r="H66" s="9">
        <v>0.1295886260342617</v>
      </c>
      <c r="I66" s="10">
        <v>15.6</v>
      </c>
      <c r="J66" s="9">
        <v>0.3365575107796294</v>
      </c>
      <c r="K66" s="8">
        <v>11250</v>
      </c>
      <c r="L66" s="8">
        <v>2669</v>
      </c>
      <c r="M66" s="8">
        <v>69</v>
      </c>
      <c r="N66" s="6"/>
    </row>
    <row r="67" spans="1:14">
      <c r="A67" s="5" t="s">
        <v>169</v>
      </c>
      <c r="B67" s="6">
        <v>4</v>
      </c>
      <c r="C67" s="5" t="s">
        <v>170</v>
      </c>
      <c r="D67" s="7">
        <v>-34.6306814</v>
      </c>
      <c r="E67" s="7">
        <v>-58.3718235</v>
      </c>
      <c r="F67" s="8">
        <v>8567</v>
      </c>
      <c r="G67" s="9">
        <v>0.1208124197502043</v>
      </c>
      <c r="H67" s="9">
        <v>0.06700128399673165</v>
      </c>
      <c r="I67" s="10">
        <v>13.96666666666667</v>
      </c>
      <c r="J67" s="9">
        <v>0.2655538694992413</v>
      </c>
      <c r="K67" s="8">
        <v>8710</v>
      </c>
      <c r="L67" s="8">
        <v>143</v>
      </c>
      <c r="M67" s="8">
        <v>40</v>
      </c>
      <c r="N67" s="6"/>
    </row>
    <row r="68" spans="1:14">
      <c r="A68" s="5" t="s">
        <v>171</v>
      </c>
      <c r="B68" s="6">
        <v>14</v>
      </c>
      <c r="C68" s="5" t="s">
        <v>172</v>
      </c>
      <c r="D68" s="7">
        <v>-34.5926862</v>
      </c>
      <c r="E68" s="7">
        <v>-58.4260597</v>
      </c>
      <c r="F68" s="8">
        <v>8436</v>
      </c>
      <c r="G68" s="9">
        <v>0.1738975817923186</v>
      </c>
      <c r="H68" s="9">
        <v>0.0731389284020863</v>
      </c>
      <c r="I68" s="10">
        <v>13.13333333333333</v>
      </c>
      <c r="J68" s="9">
        <v>0.3111664295874822</v>
      </c>
      <c r="K68" s="8">
        <v>7597</v>
      </c>
      <c r="L68" s="8">
        <v>-839</v>
      </c>
      <c r="M68" s="8">
        <v>50</v>
      </c>
      <c r="N68" s="6"/>
    </row>
    <row r="69" spans="1:14">
      <c r="A69" s="5" t="s">
        <v>173</v>
      </c>
      <c r="B69" s="6">
        <v>14</v>
      </c>
      <c r="C69" s="5" t="s">
        <v>174</v>
      </c>
      <c r="D69" s="7">
        <v>-34.56533652</v>
      </c>
      <c r="E69" s="7">
        <v>-58.42062076</v>
      </c>
      <c r="F69" s="8">
        <v>8399</v>
      </c>
      <c r="G69" s="9">
        <v>0.243005119657102</v>
      </c>
      <c r="H69" s="9">
        <v>0.07905703059888082</v>
      </c>
      <c r="I69" s="10">
        <v>14.86666666666667</v>
      </c>
      <c r="J69" s="9">
        <v>0.3620669127277057</v>
      </c>
      <c r="K69" s="8">
        <v>9214</v>
      </c>
      <c r="L69" s="8">
        <v>815</v>
      </c>
      <c r="M69" s="8">
        <v>71</v>
      </c>
      <c r="N69" s="6" t="s">
        <v>48</v>
      </c>
    </row>
    <row r="70" spans="1:14">
      <c r="A70" s="5" t="s">
        <v>175</v>
      </c>
      <c r="B70" s="6">
        <v>14</v>
      </c>
      <c r="C70" s="5" t="s">
        <v>176</v>
      </c>
      <c r="D70" s="7">
        <v>-34.5829625</v>
      </c>
      <c r="E70" s="7">
        <v>-58.42997930000001</v>
      </c>
      <c r="F70" s="8">
        <v>8263</v>
      </c>
      <c r="G70" s="9">
        <v>0.1791117027713905</v>
      </c>
      <c r="H70" s="9">
        <v>0.09161321553915043</v>
      </c>
      <c r="I70" s="10">
        <v>14.31666666666667</v>
      </c>
      <c r="J70" s="9">
        <v>0.2958973738351688</v>
      </c>
      <c r="K70" s="8">
        <v>8100</v>
      </c>
      <c r="L70" s="8">
        <v>-163</v>
      </c>
      <c r="M70" s="8">
        <v>63</v>
      </c>
      <c r="N70" s="6" t="s">
        <v>48</v>
      </c>
    </row>
    <row r="71" spans="1:14">
      <c r="A71" s="5" t="s">
        <v>177</v>
      </c>
      <c r="B71" s="6">
        <v>14</v>
      </c>
      <c r="C71" s="5" t="s">
        <v>178</v>
      </c>
      <c r="D71" s="7">
        <v>-34.5906475</v>
      </c>
      <c r="E71" s="7">
        <v>-58.42889899999998</v>
      </c>
      <c r="F71" s="8">
        <v>8191</v>
      </c>
      <c r="G71" s="9">
        <v>0.2342815285068978</v>
      </c>
      <c r="H71" s="9">
        <v>0.06897814674642901</v>
      </c>
      <c r="I71" s="10">
        <v>14.48333333333333</v>
      </c>
      <c r="J71" s="9">
        <v>0.3240141618849957</v>
      </c>
      <c r="K71" s="8">
        <v>7739</v>
      </c>
      <c r="L71" s="8">
        <v>-452</v>
      </c>
      <c r="M71" s="8">
        <v>63</v>
      </c>
      <c r="N71" s="6"/>
    </row>
    <row r="72" spans="1:14">
      <c r="A72" s="5" t="s">
        <v>179</v>
      </c>
      <c r="B72" s="6">
        <v>1</v>
      </c>
      <c r="C72" s="5" t="s">
        <v>180</v>
      </c>
      <c r="D72" s="7">
        <v>-34.6236397</v>
      </c>
      <c r="E72" s="7">
        <v>-58.3632448</v>
      </c>
      <c r="F72" s="8">
        <v>8153</v>
      </c>
      <c r="G72" s="9">
        <v>0.1195878817613149</v>
      </c>
      <c r="H72" s="9">
        <v>0.06856371887648718</v>
      </c>
      <c r="I72" s="10">
        <v>10.71666666666667</v>
      </c>
      <c r="J72" s="9">
        <v>0.2375812584324788</v>
      </c>
      <c r="K72" s="8">
        <v>8865</v>
      </c>
      <c r="L72" s="8">
        <v>712</v>
      </c>
      <c r="M72" s="8">
        <v>25</v>
      </c>
      <c r="N72" s="6"/>
    </row>
    <row r="73" spans="1:14">
      <c r="A73" s="5" t="s">
        <v>181</v>
      </c>
      <c r="B73" s="6">
        <v>14</v>
      </c>
      <c r="C73" s="5" t="s">
        <v>182</v>
      </c>
      <c r="D73" s="7">
        <v>-34.5745008</v>
      </c>
      <c r="E73" s="7">
        <v>-58.42481399999999</v>
      </c>
      <c r="F73" s="8">
        <v>8149</v>
      </c>
      <c r="G73" s="9">
        <v>0.2208859982819978</v>
      </c>
      <c r="H73" s="9">
        <v>0.07559209718983924</v>
      </c>
      <c r="I73" s="10">
        <v>13.38333333333333</v>
      </c>
      <c r="J73" s="9">
        <v>0.303595533194257</v>
      </c>
      <c r="K73" s="8">
        <v>8325</v>
      </c>
      <c r="L73" s="8">
        <v>176</v>
      </c>
      <c r="M73" s="8">
        <v>58</v>
      </c>
      <c r="N73" s="6"/>
    </row>
    <row r="74" spans="1:14">
      <c r="A74" s="5" t="s">
        <v>183</v>
      </c>
      <c r="B74" s="6">
        <v>1</v>
      </c>
      <c r="C74" s="5" t="s">
        <v>184</v>
      </c>
      <c r="D74" s="7">
        <v>-34.6186217</v>
      </c>
      <c r="E74" s="7">
        <v>-58.3812271</v>
      </c>
      <c r="F74" s="8">
        <v>8071</v>
      </c>
      <c r="G74" s="9">
        <v>0.1009788130343204</v>
      </c>
      <c r="H74" s="9">
        <v>0.05649857514558295</v>
      </c>
      <c r="I74" s="10">
        <v>13.06666666666667</v>
      </c>
      <c r="J74" s="9">
        <v>0.2972370214347664</v>
      </c>
      <c r="K74" s="8">
        <v>7165</v>
      </c>
      <c r="L74" s="8">
        <v>-906</v>
      </c>
      <c r="M74" s="8">
        <v>25</v>
      </c>
      <c r="N74" s="6"/>
    </row>
    <row r="75" spans="1:14">
      <c r="A75" s="5" t="s">
        <v>185</v>
      </c>
      <c r="B75" s="6">
        <v>2</v>
      </c>
      <c r="C75" s="5" t="s">
        <v>186</v>
      </c>
      <c r="D75" s="7">
        <v>-34.5926649</v>
      </c>
      <c r="E75" s="7">
        <v>-58.41200720000001</v>
      </c>
      <c r="F75" s="8">
        <v>7930</v>
      </c>
      <c r="G75" s="9">
        <v>0.1522068095838588</v>
      </c>
      <c r="H75" s="9">
        <v>0.05598991172761664</v>
      </c>
      <c r="I75" s="10">
        <v>12.35</v>
      </c>
      <c r="J75" s="9">
        <v>0.3081967213114754</v>
      </c>
      <c r="K75" s="8">
        <v>6861</v>
      </c>
      <c r="L75" s="8">
        <v>-1069</v>
      </c>
      <c r="M75" s="8">
        <v>33</v>
      </c>
      <c r="N75" s="6"/>
    </row>
    <row r="76" spans="1:14">
      <c r="A76" s="5" t="s">
        <v>187</v>
      </c>
      <c r="B76" s="6">
        <v>1</v>
      </c>
      <c r="C76" s="5" t="s">
        <v>188</v>
      </c>
      <c r="D76" s="7">
        <v>-34.6163729</v>
      </c>
      <c r="E76" s="7">
        <v>-58.37436969999998</v>
      </c>
      <c r="F76" s="8">
        <v>7926</v>
      </c>
      <c r="G76" s="9">
        <v>0.140928589452435</v>
      </c>
      <c r="H76" s="9">
        <v>0.06484986121625032</v>
      </c>
      <c r="I76" s="10">
        <v>13.31666666666667</v>
      </c>
      <c r="J76" s="9">
        <v>0.3043149129447388</v>
      </c>
      <c r="K76" s="8">
        <v>7822</v>
      </c>
      <c r="L76" s="8">
        <v>-104</v>
      </c>
      <c r="M76" s="8">
        <v>41</v>
      </c>
      <c r="N76" s="6"/>
    </row>
    <row r="77" spans="1:14">
      <c r="A77" s="5" t="s">
        <v>189</v>
      </c>
      <c r="B77" s="6">
        <v>1</v>
      </c>
      <c r="C77" s="5" t="s">
        <v>190</v>
      </c>
      <c r="D77" s="7">
        <v>-34.59977772506695</v>
      </c>
      <c r="E77" s="7">
        <v>-58.37468663054962</v>
      </c>
      <c r="F77" s="8">
        <v>7614</v>
      </c>
      <c r="G77" s="9">
        <v>0.1189913317572892</v>
      </c>
      <c r="H77" s="9">
        <v>0.04320987654320987</v>
      </c>
      <c r="I77" s="10">
        <v>13.71666666666667</v>
      </c>
      <c r="J77" s="9">
        <v>0.1782243236143945</v>
      </c>
      <c r="K77" s="8">
        <v>7558</v>
      </c>
      <c r="L77" s="8">
        <v>-56</v>
      </c>
      <c r="M77" s="8">
        <v>27</v>
      </c>
      <c r="N77" s="6"/>
    </row>
    <row r="78" spans="1:14">
      <c r="A78" s="5" t="s">
        <v>191</v>
      </c>
      <c r="B78" s="6">
        <v>14</v>
      </c>
      <c r="C78" s="5" t="s">
        <v>192</v>
      </c>
      <c r="D78" s="7">
        <v>-34.58111437500588</v>
      </c>
      <c r="E78" s="7">
        <v>-58.41262482341766</v>
      </c>
      <c r="F78" s="8">
        <v>7582</v>
      </c>
      <c r="G78" s="9">
        <v>0.1785808493801108</v>
      </c>
      <c r="H78" s="9">
        <v>0.07108942231601161</v>
      </c>
      <c r="I78" s="10">
        <v>13.91666666666667</v>
      </c>
      <c r="J78" s="9">
        <v>0.3148245845423371</v>
      </c>
      <c r="K78" s="8">
        <v>7883</v>
      </c>
      <c r="L78" s="8">
        <v>301</v>
      </c>
      <c r="M78" s="8">
        <v>54</v>
      </c>
      <c r="N78" s="6"/>
    </row>
    <row r="79" spans="1:14">
      <c r="A79" s="5" t="s">
        <v>193</v>
      </c>
      <c r="B79" s="6">
        <v>2</v>
      </c>
      <c r="C79" s="5" t="s">
        <v>194</v>
      </c>
      <c r="D79" s="7">
        <v>-34.597048</v>
      </c>
      <c r="E79" s="7">
        <v>-58.407614</v>
      </c>
      <c r="F79" s="8">
        <v>7571</v>
      </c>
      <c r="G79" s="9">
        <v>0.1439704134196275</v>
      </c>
      <c r="H79" s="9">
        <v>0.08413683793422269</v>
      </c>
      <c r="I79" s="10">
        <v>15.43333333333333</v>
      </c>
      <c r="J79" s="9">
        <v>0.3144894994056268</v>
      </c>
      <c r="K79" s="8">
        <v>8156</v>
      </c>
      <c r="L79" s="8">
        <v>585</v>
      </c>
      <c r="M79" s="8">
        <v>62</v>
      </c>
      <c r="N79" s="6" t="s">
        <v>48</v>
      </c>
    </row>
    <row r="80" spans="1:14">
      <c r="A80" s="5" t="s">
        <v>195</v>
      </c>
      <c r="B80" s="6">
        <v>14</v>
      </c>
      <c r="C80" s="5" t="s">
        <v>196</v>
      </c>
      <c r="D80" s="7">
        <v>-34.588567</v>
      </c>
      <c r="E80" s="7">
        <v>-58.42599899999999</v>
      </c>
      <c r="F80" s="8">
        <v>7565</v>
      </c>
      <c r="G80" s="9">
        <v>0.2475875743555849</v>
      </c>
      <c r="H80" s="9">
        <v>0.09372108393919365</v>
      </c>
      <c r="I80" s="10">
        <v>15.53333333333333</v>
      </c>
      <c r="J80" s="9">
        <v>0.3257105089226702</v>
      </c>
      <c r="K80" s="8">
        <v>7164</v>
      </c>
      <c r="L80" s="8">
        <v>-401</v>
      </c>
      <c r="M80" s="8">
        <v>78</v>
      </c>
      <c r="N80" s="6" t="s">
        <v>48</v>
      </c>
    </row>
    <row r="81" spans="1:14">
      <c r="A81" s="5" t="s">
        <v>197</v>
      </c>
      <c r="B81" s="6">
        <v>1</v>
      </c>
      <c r="C81" s="5" t="s">
        <v>198</v>
      </c>
      <c r="D81" s="7">
        <v>-34.609801</v>
      </c>
      <c r="E81" s="7">
        <v>-58.3748</v>
      </c>
      <c r="F81" s="8">
        <v>7537</v>
      </c>
      <c r="G81" s="9">
        <v>0.08955817964707444</v>
      </c>
      <c r="H81" s="9">
        <v>0.07310601034894521</v>
      </c>
      <c r="I81" s="10">
        <v>11.65</v>
      </c>
      <c r="J81" s="9">
        <v>0.150457741807085</v>
      </c>
      <c r="K81" s="8">
        <v>6833</v>
      </c>
      <c r="L81" s="8">
        <v>-704</v>
      </c>
      <c r="M81" s="8">
        <v>23</v>
      </c>
      <c r="N81" s="6"/>
    </row>
    <row r="82" spans="1:14">
      <c r="A82" s="5" t="s">
        <v>199</v>
      </c>
      <c r="B82" s="6">
        <v>2</v>
      </c>
      <c r="C82" s="5" t="s">
        <v>200</v>
      </c>
      <c r="D82" s="7">
        <v>-34.5908626</v>
      </c>
      <c r="E82" s="7">
        <v>-58.4061652</v>
      </c>
      <c r="F82" s="8">
        <v>7505</v>
      </c>
      <c r="G82" s="9">
        <v>0.1549633577614923</v>
      </c>
      <c r="H82" s="9">
        <v>0.06768820786142572</v>
      </c>
      <c r="I82" s="10">
        <v>14.53333333333333</v>
      </c>
      <c r="J82" s="9">
        <v>0.3530979347101932</v>
      </c>
      <c r="K82" s="8">
        <v>7517</v>
      </c>
      <c r="L82" s="8">
        <v>12</v>
      </c>
      <c r="M82" s="8">
        <v>53</v>
      </c>
      <c r="N82" s="6"/>
    </row>
    <row r="83" spans="1:14">
      <c r="A83" s="5" t="s">
        <v>201</v>
      </c>
      <c r="B83" s="6">
        <v>1</v>
      </c>
      <c r="C83" s="5" t="s">
        <v>202</v>
      </c>
      <c r="D83" s="7">
        <v>-34.617654</v>
      </c>
      <c r="E83" s="7">
        <v>-58.380565</v>
      </c>
      <c r="F83" s="8">
        <v>7479</v>
      </c>
      <c r="G83" s="9">
        <v>0.1240807594598208</v>
      </c>
      <c r="H83" s="9">
        <v>0.05094263939029282</v>
      </c>
      <c r="I83" s="10">
        <v>12.63333333333333</v>
      </c>
      <c r="J83" s="9">
        <v>0.2950929268618799</v>
      </c>
      <c r="K83" s="8">
        <v>7216</v>
      </c>
      <c r="L83" s="8">
        <v>-263</v>
      </c>
      <c r="M83" s="8">
        <v>25</v>
      </c>
      <c r="N83" s="6"/>
    </row>
    <row r="84" spans="1:14">
      <c r="A84" s="5" t="s">
        <v>203</v>
      </c>
      <c r="B84" s="6">
        <v>14</v>
      </c>
      <c r="C84" s="5" t="s">
        <v>204</v>
      </c>
      <c r="D84" s="7">
        <v>-34.568165</v>
      </c>
      <c r="E84" s="7">
        <v>-58.412121</v>
      </c>
      <c r="F84" s="8">
        <v>7296</v>
      </c>
      <c r="G84" s="9">
        <v>0.2029879385964912</v>
      </c>
      <c r="H84" s="9">
        <v>0.08374451754385964</v>
      </c>
      <c r="I84" s="10">
        <v>12.61666666666667</v>
      </c>
      <c r="J84" s="9">
        <v>0.2982456140350877</v>
      </c>
      <c r="K84" s="8">
        <v>7427</v>
      </c>
      <c r="L84" s="8">
        <v>131</v>
      </c>
      <c r="M84" s="8">
        <v>54</v>
      </c>
      <c r="N84" s="6" t="s">
        <v>48</v>
      </c>
    </row>
    <row r="85" spans="1:14">
      <c r="A85" s="5" t="s">
        <v>205</v>
      </c>
      <c r="B85" s="6">
        <v>1</v>
      </c>
      <c r="C85" s="5" t="s">
        <v>206</v>
      </c>
      <c r="D85" s="7">
        <v>-34.612075</v>
      </c>
      <c r="E85" s="7">
        <v>-58.38038400000001</v>
      </c>
      <c r="F85" s="8">
        <v>7092</v>
      </c>
      <c r="G85" s="9">
        <v>0.1053299492385787</v>
      </c>
      <c r="H85" s="9">
        <v>0.05781161872532431</v>
      </c>
      <c r="I85" s="10">
        <v>12.56666666666667</v>
      </c>
      <c r="J85" s="9">
        <v>0.1699097574732092</v>
      </c>
      <c r="K85" s="8">
        <v>6491</v>
      </c>
      <c r="L85" s="8">
        <v>-601</v>
      </c>
      <c r="M85" s="8">
        <v>23</v>
      </c>
      <c r="N85" s="6"/>
    </row>
    <row r="86" spans="1:14">
      <c r="A86" s="5" t="s">
        <v>207</v>
      </c>
      <c r="B86" s="6">
        <v>4</v>
      </c>
      <c r="C86" s="5" t="s">
        <v>208</v>
      </c>
      <c r="D86" s="7">
        <v>-34.647121</v>
      </c>
      <c r="E86" s="7">
        <v>-58.374336</v>
      </c>
      <c r="F86" s="8">
        <v>6914</v>
      </c>
      <c r="G86" s="9">
        <v>0.1291582296789124</v>
      </c>
      <c r="H86" s="9">
        <v>0.1280011570726063</v>
      </c>
      <c r="I86" s="10">
        <v>19.025</v>
      </c>
      <c r="J86" s="9">
        <v>0.3294764246456465</v>
      </c>
      <c r="K86" s="8">
        <v>7399</v>
      </c>
      <c r="L86" s="8">
        <v>485</v>
      </c>
      <c r="M86" s="8">
        <v>70</v>
      </c>
      <c r="N86" s="6"/>
    </row>
    <row r="87" spans="1:14">
      <c r="A87" s="5" t="s">
        <v>209</v>
      </c>
      <c r="B87" s="6">
        <v>14</v>
      </c>
      <c r="C87" s="5" t="s">
        <v>210</v>
      </c>
      <c r="D87" s="7">
        <v>-34.5850763</v>
      </c>
      <c r="E87" s="7">
        <v>-58.4111136</v>
      </c>
      <c r="F87" s="8">
        <v>6884</v>
      </c>
      <c r="G87" s="9">
        <v>0.1565950029052876</v>
      </c>
      <c r="H87" s="9">
        <v>0.06435212085996514</v>
      </c>
      <c r="I87" s="10">
        <v>14.39166666666667</v>
      </c>
      <c r="J87" s="9">
        <v>0.3169668797210924</v>
      </c>
      <c r="K87" s="8">
        <v>6264</v>
      </c>
      <c r="L87" s="8">
        <v>-620</v>
      </c>
      <c r="M87" s="8">
        <v>52</v>
      </c>
      <c r="N87" s="6"/>
    </row>
    <row r="88" spans="1:14">
      <c r="A88" s="5" t="s">
        <v>211</v>
      </c>
      <c r="B88" s="6">
        <v>14</v>
      </c>
      <c r="C88" s="5" t="s">
        <v>212</v>
      </c>
      <c r="D88" s="7">
        <v>-34.58495</v>
      </c>
      <c r="E88" s="7">
        <v>-58.437339</v>
      </c>
      <c r="F88" s="8">
        <v>6839</v>
      </c>
      <c r="G88" s="9">
        <v>0.1691767802310279</v>
      </c>
      <c r="H88" s="9">
        <v>0.08305307793537067</v>
      </c>
      <c r="I88" s="10">
        <v>15.28333333333333</v>
      </c>
      <c r="J88" s="9">
        <v>0.3213920163766633</v>
      </c>
      <c r="K88" s="8">
        <v>7302</v>
      </c>
      <c r="L88" s="8">
        <v>463</v>
      </c>
      <c r="M88" s="8">
        <v>65</v>
      </c>
      <c r="N88" s="6"/>
    </row>
    <row r="89" spans="1:14">
      <c r="A89" s="5" t="s">
        <v>213</v>
      </c>
      <c r="B89" s="6">
        <v>1</v>
      </c>
      <c r="C89" s="5" t="s">
        <v>214</v>
      </c>
      <c r="D89" s="7">
        <v>-34.5938629</v>
      </c>
      <c r="E89" s="7">
        <v>-58.3825498</v>
      </c>
      <c r="F89" s="8">
        <v>6833</v>
      </c>
      <c r="G89" s="9">
        <v>0.0998097468169179</v>
      </c>
      <c r="H89" s="9">
        <v>0.03278208693106981</v>
      </c>
      <c r="I89" s="10">
        <v>13.03333333333333</v>
      </c>
      <c r="J89" s="9">
        <v>0.1606907654031904</v>
      </c>
      <c r="K89" s="8">
        <v>6239</v>
      </c>
      <c r="L89" s="8">
        <v>-594</v>
      </c>
      <c r="M89" s="8">
        <v>17</v>
      </c>
      <c r="N89" s="6"/>
    </row>
    <row r="90" spans="1:14">
      <c r="A90" s="5" t="s">
        <v>215</v>
      </c>
      <c r="B90" s="6">
        <v>14</v>
      </c>
      <c r="C90" s="5" t="s">
        <v>216</v>
      </c>
      <c r="D90" s="7">
        <v>-34.5780479</v>
      </c>
      <c r="E90" s="7">
        <v>-58.43524660000001</v>
      </c>
      <c r="F90" s="8">
        <v>6813</v>
      </c>
      <c r="G90" s="9">
        <v>0.1952150300895347</v>
      </c>
      <c r="H90" s="9">
        <v>0.09173638632027008</v>
      </c>
      <c r="I90" s="10">
        <v>14.21666666666667</v>
      </c>
      <c r="J90" s="9">
        <v>0.3331865551152209</v>
      </c>
      <c r="K90" s="8">
        <v>6938</v>
      </c>
      <c r="L90" s="8">
        <v>125</v>
      </c>
      <c r="M90" s="8">
        <v>65</v>
      </c>
      <c r="N90" s="6"/>
    </row>
    <row r="91" spans="1:14">
      <c r="A91" s="5" t="s">
        <v>217</v>
      </c>
      <c r="B91" s="6">
        <v>4</v>
      </c>
      <c r="C91" s="5" t="s">
        <v>218</v>
      </c>
      <c r="D91" s="7">
        <v>-34.6350046</v>
      </c>
      <c r="E91" s="7">
        <v>-58.39505390000001</v>
      </c>
      <c r="F91" s="8">
        <v>6673</v>
      </c>
      <c r="G91" s="9">
        <v>0.123182976172636</v>
      </c>
      <c r="H91" s="9">
        <v>0.1594485239022928</v>
      </c>
      <c r="I91" s="10">
        <v>14.25</v>
      </c>
      <c r="J91" s="9">
        <v>0.3325340926120186</v>
      </c>
      <c r="K91" s="8">
        <v>6671</v>
      </c>
      <c r="L91" s="8">
        <v>-2</v>
      </c>
      <c r="M91" s="8">
        <v>58</v>
      </c>
      <c r="N91" s="6"/>
    </row>
    <row r="92" spans="1:14">
      <c r="A92" s="5" t="s">
        <v>219</v>
      </c>
      <c r="B92" s="6">
        <v>14</v>
      </c>
      <c r="C92" s="5" t="s">
        <v>220</v>
      </c>
      <c r="D92" s="7">
        <v>-34.567633</v>
      </c>
      <c r="E92" s="7">
        <v>-58.43675200000001</v>
      </c>
      <c r="F92" s="8">
        <v>6668</v>
      </c>
      <c r="G92" s="9">
        <v>0.2032093581283743</v>
      </c>
      <c r="H92" s="9">
        <v>0.1105278944211158</v>
      </c>
      <c r="I92" s="10">
        <v>18.2</v>
      </c>
      <c r="J92" s="9">
        <v>0.367126574685063</v>
      </c>
      <c r="K92" s="8">
        <v>6449</v>
      </c>
      <c r="L92" s="8">
        <v>-219</v>
      </c>
      <c r="M92" s="8">
        <v>82</v>
      </c>
      <c r="N92" s="6"/>
    </row>
    <row r="93" spans="1:14">
      <c r="A93" s="5" t="s">
        <v>221</v>
      </c>
      <c r="B93" s="6">
        <v>1</v>
      </c>
      <c r="C93" s="5" t="s">
        <v>222</v>
      </c>
      <c r="D93" s="7">
        <v>-34.62393</v>
      </c>
      <c r="E93" s="7">
        <v>-58.39124999999999</v>
      </c>
      <c r="F93" s="8">
        <v>6490</v>
      </c>
      <c r="G93" s="9">
        <v>0.113713405238829</v>
      </c>
      <c r="H93" s="9">
        <v>0.09029275808936826</v>
      </c>
      <c r="I93" s="10">
        <v>15.33333333333333</v>
      </c>
      <c r="J93" s="9">
        <v>0.2719568567026194</v>
      </c>
      <c r="K93" s="8">
        <v>5773</v>
      </c>
      <c r="L93" s="8">
        <v>-717</v>
      </c>
      <c r="M93" s="8">
        <v>54</v>
      </c>
      <c r="N93" s="6"/>
    </row>
    <row r="94" spans="1:14">
      <c r="A94" s="5" t="s">
        <v>223</v>
      </c>
      <c r="B94" s="6">
        <v>4</v>
      </c>
      <c r="C94" s="5" t="s">
        <v>224</v>
      </c>
      <c r="D94" s="7">
        <v>-34.6277671</v>
      </c>
      <c r="E94" s="7">
        <v>-58.36602490000001</v>
      </c>
      <c r="F94" s="8">
        <v>6393</v>
      </c>
      <c r="G94" s="9">
        <v>0.1362427655247928</v>
      </c>
      <c r="H94" s="9">
        <v>0.1027686532144533</v>
      </c>
      <c r="I94" s="10">
        <v>15.05</v>
      </c>
      <c r="J94" s="9">
        <v>0.2527764742687314</v>
      </c>
      <c r="K94" s="8">
        <v>6576</v>
      </c>
      <c r="L94" s="8">
        <v>183</v>
      </c>
      <c r="M94" s="8">
        <v>62</v>
      </c>
      <c r="N94" s="6"/>
    </row>
    <row r="95" spans="1:14">
      <c r="A95" s="5" t="s">
        <v>225</v>
      </c>
      <c r="B95" s="6">
        <v>14</v>
      </c>
      <c r="C95" s="5" t="s">
        <v>226</v>
      </c>
      <c r="D95" s="7">
        <v>-34.5755148</v>
      </c>
      <c r="E95" s="7">
        <v>-58.4138829</v>
      </c>
      <c r="F95" s="8">
        <v>6340</v>
      </c>
      <c r="G95" s="9">
        <v>0.262776025236593</v>
      </c>
      <c r="H95" s="9">
        <v>0.1075709779179811</v>
      </c>
      <c r="I95" s="10">
        <v>18.03333333333333</v>
      </c>
      <c r="J95" s="9">
        <v>0.3080441640378549</v>
      </c>
      <c r="K95" s="8">
        <v>5857</v>
      </c>
      <c r="L95" s="8">
        <v>-483</v>
      </c>
      <c r="M95" s="8">
        <v>86</v>
      </c>
      <c r="N95" s="6" t="s">
        <v>48</v>
      </c>
    </row>
    <row r="96" spans="1:14">
      <c r="A96" s="5" t="s">
        <v>227</v>
      </c>
      <c r="B96" s="6">
        <v>1</v>
      </c>
      <c r="C96" s="5" t="s">
        <v>228</v>
      </c>
      <c r="D96" s="7">
        <v>-34.6018635</v>
      </c>
      <c r="E96" s="7">
        <v>-58.38669339999999</v>
      </c>
      <c r="F96" s="8">
        <v>6295</v>
      </c>
      <c r="G96" s="9">
        <v>0.115647339158062</v>
      </c>
      <c r="H96" s="9">
        <v>0.05178713264495632</v>
      </c>
      <c r="I96" s="10">
        <v>13.81666666666667</v>
      </c>
      <c r="J96" s="9">
        <v>0.1609213661636219</v>
      </c>
      <c r="K96" s="8">
        <v>5459</v>
      </c>
      <c r="L96" s="8">
        <v>-836</v>
      </c>
      <c r="M96" s="8">
        <v>30</v>
      </c>
      <c r="N96" s="6"/>
    </row>
    <row r="97" spans="1:14">
      <c r="A97" s="5" t="s">
        <v>229</v>
      </c>
      <c r="B97" s="6">
        <v>1</v>
      </c>
      <c r="C97" s="5" t="s">
        <v>230</v>
      </c>
      <c r="D97" s="7">
        <v>-34.6081643</v>
      </c>
      <c r="E97" s="7">
        <v>-58.3779002</v>
      </c>
      <c r="F97" s="8">
        <v>6139</v>
      </c>
      <c r="G97" s="9">
        <v>0.06727480045610035</v>
      </c>
      <c r="H97" s="9">
        <v>0.04170060270402345</v>
      </c>
      <c r="I97" s="10">
        <v>11.38333333333333</v>
      </c>
      <c r="J97" s="9">
        <v>0.1412282130640169</v>
      </c>
      <c r="K97" s="8">
        <v>5813</v>
      </c>
      <c r="L97" s="8">
        <v>-326</v>
      </c>
      <c r="M97" s="8">
        <v>8</v>
      </c>
      <c r="N97" s="6"/>
    </row>
    <row r="98" spans="1:14">
      <c r="A98" s="5" t="s">
        <v>231</v>
      </c>
      <c r="B98" s="6">
        <v>1</v>
      </c>
      <c r="C98" s="5" t="s">
        <v>232</v>
      </c>
      <c r="D98" s="7">
        <v>-34.6016509</v>
      </c>
      <c r="E98" s="7">
        <v>-58.37107900000001</v>
      </c>
      <c r="F98" s="8">
        <v>5917</v>
      </c>
      <c r="G98" s="9">
        <v>0.05357444651005577</v>
      </c>
      <c r="H98" s="9">
        <v>0.0390400540814602</v>
      </c>
      <c r="I98" s="10">
        <v>12.63333333333333</v>
      </c>
      <c r="J98" s="9">
        <v>0.1088389386513436</v>
      </c>
      <c r="K98" s="8">
        <v>5451</v>
      </c>
      <c r="L98" s="8">
        <v>-466</v>
      </c>
      <c r="M98" s="8">
        <v>11</v>
      </c>
      <c r="N98" s="6"/>
    </row>
    <row r="99" spans="1:14">
      <c r="A99" s="5" t="s">
        <v>233</v>
      </c>
      <c r="B99" s="6">
        <v>1</v>
      </c>
      <c r="C99" s="5" t="s">
        <v>234</v>
      </c>
      <c r="D99" s="7">
        <v>-34.5954737</v>
      </c>
      <c r="E99" s="7">
        <v>-58.37748229999999</v>
      </c>
      <c r="F99" s="8">
        <v>5892</v>
      </c>
      <c r="G99" s="9">
        <v>0.136795655125594</v>
      </c>
      <c r="H99" s="9">
        <v>0.05125594025797692</v>
      </c>
      <c r="I99" s="10">
        <v>13.925</v>
      </c>
      <c r="J99" s="9">
        <v>0.2245417515274949</v>
      </c>
      <c r="K99" s="8">
        <v>5404</v>
      </c>
      <c r="L99" s="8">
        <v>-488</v>
      </c>
      <c r="M99" s="8">
        <v>37</v>
      </c>
      <c r="N99" s="6" t="s">
        <v>48</v>
      </c>
    </row>
    <row r="100" spans="1:14">
      <c r="A100" s="5" t="s">
        <v>235</v>
      </c>
      <c r="B100" s="6">
        <v>4</v>
      </c>
      <c r="C100" s="5" t="s">
        <v>236</v>
      </c>
      <c r="D100" s="7">
        <v>-34.6306129</v>
      </c>
      <c r="E100" s="7">
        <v>-58.3913419</v>
      </c>
      <c r="F100" s="8">
        <v>5823</v>
      </c>
      <c r="G100" s="9">
        <v>0.09170530654301906</v>
      </c>
      <c r="H100" s="9">
        <v>0.08964451313755796</v>
      </c>
      <c r="I100" s="10">
        <v>14.33333333333333</v>
      </c>
      <c r="J100" s="9">
        <v>0.2680748754937318</v>
      </c>
      <c r="K100" s="8">
        <v>4938</v>
      </c>
      <c r="L100" s="8">
        <v>-885</v>
      </c>
      <c r="M100" s="8">
        <v>42</v>
      </c>
      <c r="N100" s="6"/>
    </row>
    <row r="101" spans="1:14">
      <c r="A101" s="5" t="s">
        <v>237</v>
      </c>
      <c r="B101" s="6">
        <v>1</v>
      </c>
      <c r="C101" s="5" t="s">
        <v>238</v>
      </c>
      <c r="D101" s="7">
        <v>-34.62697297057363</v>
      </c>
      <c r="E101" s="7">
        <v>-58.38060147088622</v>
      </c>
      <c r="F101" s="8">
        <v>5822</v>
      </c>
      <c r="G101" s="9">
        <v>0.09017519752662316</v>
      </c>
      <c r="H101" s="9">
        <v>0.02318790793541738</v>
      </c>
      <c r="I101" s="10">
        <v>14.13333333333333</v>
      </c>
      <c r="J101" s="9">
        <v>0.2937135005152868</v>
      </c>
      <c r="K101" s="8">
        <v>6147</v>
      </c>
      <c r="L101" s="8">
        <v>325</v>
      </c>
      <c r="M101" s="8">
        <v>21</v>
      </c>
      <c r="N101" s="6"/>
    </row>
    <row r="102" spans="1:14">
      <c r="A102" s="5" t="s">
        <v>239</v>
      </c>
      <c r="B102" s="6">
        <v>1</v>
      </c>
      <c r="C102" s="5" t="s">
        <v>240</v>
      </c>
      <c r="D102" s="7">
        <v>-34.59291496187579</v>
      </c>
      <c r="E102" s="7">
        <v>-58.37544271163939</v>
      </c>
      <c r="F102" s="8">
        <v>5712</v>
      </c>
      <c r="G102" s="9">
        <v>0.1285014005602241</v>
      </c>
      <c r="H102" s="9">
        <v>0.0625</v>
      </c>
      <c r="I102" s="10">
        <v>15.91666666666667</v>
      </c>
      <c r="J102" s="9">
        <v>0.2598039215686275</v>
      </c>
      <c r="K102" s="8">
        <v>6071</v>
      </c>
      <c r="L102" s="8">
        <v>359</v>
      </c>
      <c r="M102" s="8">
        <v>50</v>
      </c>
      <c r="N102" s="6"/>
    </row>
    <row r="103" spans="1:14">
      <c r="A103" s="5" t="s">
        <v>241</v>
      </c>
      <c r="B103" s="6">
        <v>4</v>
      </c>
      <c r="C103" s="5" t="s">
        <v>242</v>
      </c>
      <c r="D103" s="7">
        <v>-34.63922546953217</v>
      </c>
      <c r="E103" s="7">
        <v>-58.36958898591382</v>
      </c>
      <c r="F103" s="8">
        <v>5610</v>
      </c>
      <c r="G103" s="9">
        <v>0.1591800356506239</v>
      </c>
      <c r="H103" s="9">
        <v>0.15650623885918</v>
      </c>
      <c r="I103" s="10">
        <v>18.18333333333333</v>
      </c>
      <c r="J103" s="9">
        <v>0.2923351158645277</v>
      </c>
      <c r="K103" s="8">
        <v>6310</v>
      </c>
      <c r="L103" s="8">
        <v>700</v>
      </c>
      <c r="M103" s="8">
        <v>79</v>
      </c>
      <c r="N103" s="6"/>
    </row>
    <row r="104" spans="1:14">
      <c r="A104" s="5" t="s">
        <v>243</v>
      </c>
      <c r="B104" s="6">
        <v>14</v>
      </c>
      <c r="C104" s="5" t="s">
        <v>244</v>
      </c>
      <c r="D104" s="7">
        <v>-34.5915614</v>
      </c>
      <c r="E104" s="7">
        <v>-58.41981629999999</v>
      </c>
      <c r="F104" s="8">
        <v>5520</v>
      </c>
      <c r="G104" s="9">
        <v>0.183695652173913</v>
      </c>
      <c r="H104" s="9">
        <v>0.133695652173913</v>
      </c>
      <c r="I104" s="10">
        <v>14.60833333333333</v>
      </c>
      <c r="J104" s="9">
        <v>0.3773550724637681</v>
      </c>
      <c r="K104" s="8">
        <v>5264</v>
      </c>
      <c r="L104" s="8">
        <v>-256</v>
      </c>
      <c r="M104" s="8">
        <v>73</v>
      </c>
      <c r="N104" s="6"/>
    </row>
    <row r="105" spans="1:14">
      <c r="A105" s="5" t="s">
        <v>245</v>
      </c>
      <c r="B105" s="6">
        <v>1</v>
      </c>
      <c r="C105" s="5" t="s">
        <v>246</v>
      </c>
      <c r="D105" s="7">
        <v>-34.606498</v>
      </c>
      <c r="E105" s="7">
        <v>-58.381098</v>
      </c>
      <c r="F105" s="8">
        <v>5493</v>
      </c>
      <c r="G105" s="9">
        <v>0.1521937010740943</v>
      </c>
      <c r="H105" s="9">
        <v>0.0496996176952485</v>
      </c>
      <c r="I105" s="10">
        <v>14.03333333333333</v>
      </c>
      <c r="J105" s="9">
        <v>0.2239213544511196</v>
      </c>
      <c r="K105" s="8">
        <v>5062</v>
      </c>
      <c r="L105" s="8">
        <v>-431</v>
      </c>
      <c r="M105" s="8">
        <v>42</v>
      </c>
      <c r="N105" s="6"/>
    </row>
    <row r="106" spans="1:14">
      <c r="A106" s="5" t="s">
        <v>247</v>
      </c>
      <c r="B106" s="6">
        <v>4</v>
      </c>
      <c r="C106" s="5" t="s">
        <v>248</v>
      </c>
      <c r="D106" s="7">
        <v>-34.640111</v>
      </c>
      <c r="E106" s="7">
        <v>-58.406432</v>
      </c>
      <c r="F106" s="8">
        <v>5482</v>
      </c>
      <c r="G106" s="9">
        <v>0.1309740970448741</v>
      </c>
      <c r="H106" s="9">
        <v>0.2382342210871944</v>
      </c>
      <c r="I106" s="10">
        <v>19.63333333333333</v>
      </c>
      <c r="J106" s="9">
        <v>0.3170375775264502</v>
      </c>
      <c r="K106" s="8">
        <v>5621</v>
      </c>
      <c r="L106" s="8">
        <v>139</v>
      </c>
      <c r="M106" s="8">
        <v>76</v>
      </c>
      <c r="N106" s="6" t="s">
        <v>48</v>
      </c>
    </row>
    <row r="107" spans="1:14">
      <c r="A107" s="5" t="s">
        <v>249</v>
      </c>
      <c r="B107" s="6">
        <v>2</v>
      </c>
      <c r="C107" s="5" t="s">
        <v>250</v>
      </c>
      <c r="D107" s="7">
        <v>-34.584018</v>
      </c>
      <c r="E107" s="7">
        <v>-58.38992100000001</v>
      </c>
      <c r="F107" s="8">
        <v>5476</v>
      </c>
      <c r="G107" s="9">
        <v>0.2883491599707816</v>
      </c>
      <c r="H107" s="9">
        <v>0.102081811541271</v>
      </c>
      <c r="I107" s="10">
        <v>20.48333333333333</v>
      </c>
      <c r="J107" s="9">
        <v>0.3467859751643536</v>
      </c>
      <c r="K107" s="8">
        <v>5875</v>
      </c>
      <c r="L107" s="8">
        <v>399</v>
      </c>
      <c r="M107" s="8">
        <v>87</v>
      </c>
      <c r="N107" s="6" t="s">
        <v>48</v>
      </c>
    </row>
    <row r="108" spans="1:14">
      <c r="A108" s="5" t="s">
        <v>251</v>
      </c>
      <c r="B108" s="6">
        <v>14</v>
      </c>
      <c r="C108" s="5" t="s">
        <v>252</v>
      </c>
      <c r="D108" s="7">
        <v>-34.5738986</v>
      </c>
      <c r="E108" s="7">
        <v>-58.43178200000001</v>
      </c>
      <c r="F108" s="8">
        <v>5464</v>
      </c>
      <c r="G108" s="9">
        <v>0.1861273792093704</v>
      </c>
      <c r="H108" s="9">
        <v>0.08327232796486091</v>
      </c>
      <c r="I108" s="10">
        <v>13.91666666666667</v>
      </c>
      <c r="J108" s="9">
        <v>0.3261346998535871</v>
      </c>
      <c r="K108" s="8">
        <v>5611</v>
      </c>
      <c r="L108" s="8">
        <v>147</v>
      </c>
      <c r="M108" s="8">
        <v>58</v>
      </c>
      <c r="N108" s="6"/>
    </row>
    <row r="109" spans="1:14">
      <c r="A109" s="5" t="s">
        <v>253</v>
      </c>
      <c r="B109" s="6">
        <v>4</v>
      </c>
      <c r="C109" s="5" t="s">
        <v>254</v>
      </c>
      <c r="D109" s="7">
        <v>-34.63037718</v>
      </c>
      <c r="E109" s="7">
        <v>-58.39584399999999</v>
      </c>
      <c r="F109" s="8">
        <v>5386</v>
      </c>
      <c r="G109" s="9">
        <v>0.1390642406238396</v>
      </c>
      <c r="H109" s="9">
        <v>0.1921648718900854</v>
      </c>
      <c r="I109" s="10">
        <v>15.81666666666667</v>
      </c>
      <c r="J109" s="9">
        <v>0.3238024507983661</v>
      </c>
      <c r="K109" s="8">
        <v>4731</v>
      </c>
      <c r="L109" s="8">
        <v>-655</v>
      </c>
      <c r="M109" s="8">
        <v>73</v>
      </c>
      <c r="N109" s="6"/>
    </row>
    <row r="110" spans="1:14">
      <c r="A110" s="5" t="s">
        <v>255</v>
      </c>
      <c r="B110" s="6">
        <v>14</v>
      </c>
      <c r="C110" s="5" t="s">
        <v>256</v>
      </c>
      <c r="D110" s="7">
        <v>-34.570161</v>
      </c>
      <c r="E110" s="7">
        <v>-58.43558</v>
      </c>
      <c r="F110" s="8">
        <v>5331</v>
      </c>
      <c r="G110" s="9">
        <v>0.1795160382667417</v>
      </c>
      <c r="H110" s="9">
        <v>0.08572500468955167</v>
      </c>
      <c r="I110" s="10">
        <v>13.91666666666667</v>
      </c>
      <c r="J110" s="9">
        <v>0.3055711873944851</v>
      </c>
      <c r="K110" s="8">
        <v>5489</v>
      </c>
      <c r="L110" s="8">
        <v>158</v>
      </c>
      <c r="M110" s="8">
        <v>59</v>
      </c>
      <c r="N110" s="6"/>
    </row>
    <row r="111" spans="1:14">
      <c r="A111" s="5" t="s">
        <v>257</v>
      </c>
      <c r="B111" s="6">
        <v>1</v>
      </c>
      <c r="C111" s="5" t="s">
        <v>258</v>
      </c>
      <c r="D111" s="7">
        <v>-34.617247</v>
      </c>
      <c r="E111" s="7">
        <v>-58.381627</v>
      </c>
      <c r="F111" s="8">
        <v>5237</v>
      </c>
      <c r="G111" s="9">
        <v>0.09833874355547069</v>
      </c>
      <c r="H111" s="9">
        <v>0.04811915218636624</v>
      </c>
      <c r="I111" s="10">
        <v>13.38333333333333</v>
      </c>
      <c r="J111" s="9">
        <v>0.2839411877028833</v>
      </c>
      <c r="K111" s="8">
        <v>4843</v>
      </c>
      <c r="L111" s="8">
        <v>-394</v>
      </c>
      <c r="M111" s="8">
        <v>23</v>
      </c>
      <c r="N111" s="6"/>
    </row>
    <row r="112" spans="1:14">
      <c r="A112" s="5" t="s">
        <v>259</v>
      </c>
      <c r="B112" s="6">
        <v>14</v>
      </c>
      <c r="C112" s="5" t="s">
        <v>260</v>
      </c>
      <c r="D112" s="7">
        <v>-34.5759189160704</v>
      </c>
      <c r="E112" s="7">
        <v>-58.41854288458634</v>
      </c>
      <c r="F112" s="8">
        <v>5175</v>
      </c>
      <c r="G112" s="9">
        <v>0.2139130434782609</v>
      </c>
      <c r="H112" s="9">
        <v>0.1244444444444444</v>
      </c>
      <c r="I112" s="10">
        <v>16.11666666666667</v>
      </c>
      <c r="J112" s="9">
        <v>0.3184541062801932</v>
      </c>
      <c r="K112" s="8">
        <v>4796</v>
      </c>
      <c r="L112" s="8">
        <v>-379</v>
      </c>
      <c r="M112" s="8">
        <v>82</v>
      </c>
      <c r="N112" s="6"/>
    </row>
    <row r="113" spans="1:14">
      <c r="A113" s="5" t="s">
        <v>261</v>
      </c>
      <c r="B113" s="6">
        <v>14</v>
      </c>
      <c r="C113" s="5" t="s">
        <v>262</v>
      </c>
      <c r="D113" s="7">
        <v>-34.56477054</v>
      </c>
      <c r="E113" s="7">
        <v>-58.402021</v>
      </c>
      <c r="F113" s="8">
        <v>5094</v>
      </c>
      <c r="G113" s="9">
        <v>0.4273655280722419</v>
      </c>
      <c r="H113" s="9">
        <v>0.3543384373773066</v>
      </c>
      <c r="I113" s="10">
        <v>29.00833333333333</v>
      </c>
      <c r="J113" s="9">
        <v>0.4018453082057322</v>
      </c>
      <c r="K113" s="8">
        <v>5316</v>
      </c>
      <c r="L113" s="8">
        <v>222</v>
      </c>
      <c r="M113" s="8">
        <v>100</v>
      </c>
      <c r="N113" s="6" t="s">
        <v>48</v>
      </c>
    </row>
    <row r="114" spans="1:14">
      <c r="A114" s="5" t="s">
        <v>263</v>
      </c>
      <c r="B114" s="6">
        <v>1</v>
      </c>
      <c r="C114" s="5" t="s">
        <v>264</v>
      </c>
      <c r="D114" s="7">
        <v>-34.61129829312854</v>
      </c>
      <c r="E114" s="7">
        <v>-58.3591384429222</v>
      </c>
      <c r="F114" s="8">
        <v>5043</v>
      </c>
      <c r="G114" s="9">
        <v>0.3182629387269482</v>
      </c>
      <c r="H114" s="9">
        <v>0.1921475312314099</v>
      </c>
      <c r="I114" s="10">
        <v>22.28333333333333</v>
      </c>
      <c r="J114" s="9">
        <v>0.3928217330953797</v>
      </c>
      <c r="K114" s="8">
        <v>5038</v>
      </c>
      <c r="L114" s="8">
        <v>-5</v>
      </c>
      <c r="M114" s="8">
        <v>95</v>
      </c>
      <c r="N114" s="6"/>
    </row>
    <row r="115" spans="1:14">
      <c r="A115" s="5" t="s">
        <v>265</v>
      </c>
      <c r="B115" s="6">
        <v>4</v>
      </c>
      <c r="C115" s="5" t="s">
        <v>266</v>
      </c>
      <c r="D115" s="7">
        <v>-34.6384786</v>
      </c>
      <c r="E115" s="7">
        <v>-58.3642885</v>
      </c>
      <c r="F115" s="8">
        <v>5001</v>
      </c>
      <c r="G115" s="9">
        <v>0.2143571285742852</v>
      </c>
      <c r="H115" s="9">
        <v>0.1337732453509298</v>
      </c>
      <c r="I115" s="10">
        <v>21.31666666666667</v>
      </c>
      <c r="J115" s="9">
        <v>0.3017396520695861</v>
      </c>
      <c r="K115" s="8">
        <v>5616</v>
      </c>
      <c r="L115" s="8">
        <v>615</v>
      </c>
      <c r="M115" s="8">
        <v>88</v>
      </c>
      <c r="N115" s="6"/>
    </row>
    <row r="116" spans="1:14">
      <c r="A116" s="5" t="s">
        <v>267</v>
      </c>
      <c r="B116" s="6">
        <v>1</v>
      </c>
      <c r="C116" s="5" t="s">
        <v>268</v>
      </c>
      <c r="D116" s="7">
        <v>-34.6010599</v>
      </c>
      <c r="E116" s="7">
        <v>-58.3745346</v>
      </c>
      <c r="F116" s="8">
        <v>4951</v>
      </c>
      <c r="G116" s="9">
        <v>0.09513229650575641</v>
      </c>
      <c r="H116" s="9">
        <v>0.04685922035952333</v>
      </c>
      <c r="I116" s="10">
        <v>12.43333333333333</v>
      </c>
      <c r="J116" s="9">
        <v>0.1537063219551606</v>
      </c>
      <c r="K116" s="8">
        <v>5152</v>
      </c>
      <c r="L116" s="8">
        <v>201</v>
      </c>
      <c r="M116" s="8">
        <v>16</v>
      </c>
      <c r="N116" s="6"/>
    </row>
    <row r="117" spans="1:14">
      <c r="A117" s="5" t="s">
        <v>269</v>
      </c>
      <c r="B117" s="6">
        <v>1</v>
      </c>
      <c r="C117" s="5" t="s">
        <v>270</v>
      </c>
      <c r="D117" s="7">
        <v>-34.610583</v>
      </c>
      <c r="E117" s="7">
        <v>-58.38089430000001</v>
      </c>
      <c r="F117" s="8">
        <v>4881</v>
      </c>
      <c r="G117" s="9">
        <v>0.1063306699446835</v>
      </c>
      <c r="H117" s="9">
        <v>0.03810694529809465</v>
      </c>
      <c r="I117" s="10">
        <v>12.08333333333333</v>
      </c>
      <c r="J117" s="9">
        <v>0.1682032370415898</v>
      </c>
      <c r="K117" s="8">
        <v>3651</v>
      </c>
      <c r="L117" s="8">
        <v>-1230</v>
      </c>
      <c r="M117" s="8">
        <v>14</v>
      </c>
      <c r="N117" s="6"/>
    </row>
    <row r="118" spans="1:14">
      <c r="A118" s="5" t="s">
        <v>271</v>
      </c>
      <c r="B118" s="6">
        <v>14</v>
      </c>
      <c r="C118" s="5" t="s">
        <v>272</v>
      </c>
      <c r="D118" s="7">
        <v>-34.5807161</v>
      </c>
      <c r="E118" s="7">
        <v>-58.43840400000001</v>
      </c>
      <c r="F118" s="8">
        <v>4876</v>
      </c>
      <c r="G118" s="9">
        <v>0.1903199343724364</v>
      </c>
      <c r="H118" s="9">
        <v>0.07116488925348646</v>
      </c>
      <c r="I118" s="10">
        <v>14.55</v>
      </c>
      <c r="J118" s="9">
        <v>0.2801476620180476</v>
      </c>
      <c r="K118" s="8">
        <v>4478</v>
      </c>
      <c r="L118" s="8">
        <v>-398</v>
      </c>
      <c r="M118" s="8">
        <v>62</v>
      </c>
      <c r="N118" s="6"/>
    </row>
    <row r="119" spans="1:14">
      <c r="A119" s="5" t="s">
        <v>273</v>
      </c>
      <c r="B119" s="6">
        <v>1</v>
      </c>
      <c r="C119" s="5" t="s">
        <v>274</v>
      </c>
      <c r="D119" s="7">
        <v>-34.6153266</v>
      </c>
      <c r="E119" s="7">
        <v>-58.38136419999999</v>
      </c>
      <c r="F119" s="8">
        <v>4875</v>
      </c>
      <c r="G119" s="9">
        <v>0.1169230769230769</v>
      </c>
      <c r="H119" s="9">
        <v>0.06256410256410257</v>
      </c>
      <c r="I119" s="10">
        <v>13.8</v>
      </c>
      <c r="J119" s="9">
        <v>0.2393846153846154</v>
      </c>
      <c r="K119" s="8">
        <v>4504</v>
      </c>
      <c r="L119" s="8">
        <v>-371</v>
      </c>
      <c r="M119" s="8">
        <v>35</v>
      </c>
      <c r="N119" s="6"/>
    </row>
    <row r="120" spans="1:14">
      <c r="A120" s="5" t="s">
        <v>275</v>
      </c>
      <c r="B120" s="6">
        <v>1</v>
      </c>
      <c r="C120" s="5" t="s">
        <v>276</v>
      </c>
      <c r="D120" s="7">
        <v>-34.6079305</v>
      </c>
      <c r="E120" s="7">
        <v>-58.3808358</v>
      </c>
      <c r="F120" s="8">
        <v>4665</v>
      </c>
      <c r="G120" s="9">
        <v>0.1494105037513398</v>
      </c>
      <c r="H120" s="9">
        <v>0.05702036441586281</v>
      </c>
      <c r="I120" s="10">
        <v>12.95</v>
      </c>
      <c r="J120" s="9">
        <v>0.2561629153269024</v>
      </c>
      <c r="K120" s="8">
        <v>4200</v>
      </c>
      <c r="L120" s="8">
        <v>-465</v>
      </c>
      <c r="M120" s="8">
        <v>37</v>
      </c>
      <c r="N120" s="6"/>
    </row>
    <row r="121" spans="1:14">
      <c r="A121" s="5" t="s">
        <v>277</v>
      </c>
      <c r="B121" s="6">
        <v>1</v>
      </c>
      <c r="C121" s="5" t="s">
        <v>278</v>
      </c>
      <c r="D121" s="7">
        <v>-34.61324972988651</v>
      </c>
      <c r="E121" s="7">
        <v>-58.37064512890549</v>
      </c>
      <c r="F121" s="8">
        <v>4558</v>
      </c>
      <c r="G121" s="9">
        <v>0.09258446687143485</v>
      </c>
      <c r="H121" s="9">
        <v>0.05835892935498026</v>
      </c>
      <c r="I121" s="10">
        <v>13.03333333333333</v>
      </c>
      <c r="J121" s="9">
        <v>0.1695919262834577</v>
      </c>
      <c r="K121" s="8">
        <v>4616</v>
      </c>
      <c r="L121" s="8">
        <v>58</v>
      </c>
      <c r="M121" s="8">
        <v>24</v>
      </c>
      <c r="N121" s="6"/>
    </row>
    <row r="122" spans="1:14">
      <c r="A122" s="5" t="s">
        <v>279</v>
      </c>
      <c r="B122" s="6">
        <v>14</v>
      </c>
      <c r="C122" s="5" t="s">
        <v>280</v>
      </c>
      <c r="D122" s="7">
        <v>-34.5752773</v>
      </c>
      <c r="E122" s="7">
        <v>-58.4346883</v>
      </c>
      <c r="F122" s="8">
        <v>4299</v>
      </c>
      <c r="G122" s="9">
        <v>0.1523610141893464</v>
      </c>
      <c r="H122" s="9">
        <v>0.0930448941614329</v>
      </c>
      <c r="I122" s="10">
        <v>13.93333333333333</v>
      </c>
      <c r="J122" s="9">
        <v>0.2486624796464294</v>
      </c>
      <c r="K122" s="8">
        <v>3866</v>
      </c>
      <c r="L122" s="8">
        <v>-433</v>
      </c>
      <c r="M122" s="8">
        <v>57</v>
      </c>
      <c r="N122" s="6"/>
    </row>
    <row r="123" spans="1:14">
      <c r="A123" s="5" t="s">
        <v>281</v>
      </c>
      <c r="B123" s="6">
        <v>1</v>
      </c>
      <c r="C123" s="5" t="s">
        <v>282</v>
      </c>
      <c r="D123" s="7">
        <v>-34.600139</v>
      </c>
      <c r="E123" s="7">
        <v>-58.379836</v>
      </c>
      <c r="F123" s="8">
        <v>4235</v>
      </c>
      <c r="G123" s="9">
        <v>0.1208972845336482</v>
      </c>
      <c r="H123" s="9">
        <v>0.05430932703659976</v>
      </c>
      <c r="I123" s="10">
        <v>12.88333333333333</v>
      </c>
      <c r="J123" s="9">
        <v>0.2186540731995277</v>
      </c>
      <c r="K123" s="8">
        <v>4213</v>
      </c>
      <c r="L123" s="8">
        <v>-22</v>
      </c>
      <c r="M123" s="8">
        <v>27</v>
      </c>
      <c r="N123" s="6"/>
    </row>
    <row r="124" spans="1:14">
      <c r="A124" s="5" t="s">
        <v>283</v>
      </c>
      <c r="B124" s="6">
        <v>4</v>
      </c>
      <c r="C124" s="5" t="s">
        <v>284</v>
      </c>
      <c r="D124" s="7">
        <v>-34.6518464</v>
      </c>
      <c r="E124" s="7">
        <v>-58.41577099999999</v>
      </c>
      <c r="F124" s="8">
        <v>4129</v>
      </c>
      <c r="G124" s="9">
        <v>0.1370791959312182</v>
      </c>
      <c r="H124" s="9">
        <v>0.2046500363284088</v>
      </c>
      <c r="I124" s="10">
        <v>19.1</v>
      </c>
      <c r="J124" s="9">
        <v>0.3538387018648583</v>
      </c>
      <c r="K124" s="8">
        <v>4357</v>
      </c>
      <c r="L124" s="8">
        <v>228</v>
      </c>
      <c r="M124" s="8">
        <v>78</v>
      </c>
      <c r="N124" s="6" t="s">
        <v>48</v>
      </c>
    </row>
    <row r="125" spans="1:14">
      <c r="A125" s="5" t="s">
        <v>285</v>
      </c>
      <c r="B125" s="6">
        <v>1</v>
      </c>
      <c r="C125" s="5" t="s">
        <v>286</v>
      </c>
      <c r="D125" s="7">
        <v>-34.59398891976011</v>
      </c>
      <c r="E125" s="7">
        <v>-58.37142444536896</v>
      </c>
      <c r="F125" s="8">
        <v>3605</v>
      </c>
      <c r="G125" s="9">
        <v>0.04438280166435506</v>
      </c>
      <c r="H125" s="9">
        <v>0.02246879334257975</v>
      </c>
      <c r="I125" s="10">
        <v>11.13333333333333</v>
      </c>
      <c r="J125" s="9">
        <v>0.1847434119278779</v>
      </c>
      <c r="K125" s="8">
        <v>3186</v>
      </c>
      <c r="L125" s="8">
        <v>-419</v>
      </c>
      <c r="M125" s="8">
        <v>3</v>
      </c>
      <c r="N125" s="6"/>
    </row>
    <row r="126" spans="1:14">
      <c r="A126" s="5" t="s">
        <v>287</v>
      </c>
      <c r="B126" s="6">
        <v>14</v>
      </c>
      <c r="C126" s="5" t="s">
        <v>288</v>
      </c>
      <c r="D126" s="7">
        <v>-34.588727</v>
      </c>
      <c r="E126" s="7">
        <v>-58.43838599999999</v>
      </c>
      <c r="F126" s="8">
        <v>3215</v>
      </c>
      <c r="G126" s="9">
        <v>0.1642301710730949</v>
      </c>
      <c r="H126" s="9">
        <v>0.09984447900466563</v>
      </c>
      <c r="I126" s="10">
        <v>15.88333333333333</v>
      </c>
      <c r="J126" s="9">
        <v>0.350855365474339</v>
      </c>
      <c r="K126" s="8">
        <v>3550</v>
      </c>
      <c r="L126" s="8">
        <v>335</v>
      </c>
      <c r="M126" s="8">
        <v>71</v>
      </c>
      <c r="N126" s="6"/>
    </row>
    <row r="127" spans="1:14">
      <c r="A127" s="5" t="s">
        <v>289</v>
      </c>
      <c r="B127" s="6">
        <v>1</v>
      </c>
      <c r="C127" s="5" t="s">
        <v>290</v>
      </c>
      <c r="D127" s="7">
        <v>-34.60748033900249</v>
      </c>
      <c r="E127" s="7">
        <v>-58.36674102446747</v>
      </c>
      <c r="F127" s="8">
        <v>3075</v>
      </c>
      <c r="G127" s="9">
        <v>0.2120325203252033</v>
      </c>
      <c r="H127" s="9">
        <v>0.1053658536585366</v>
      </c>
      <c r="I127" s="10">
        <v>15.78333333333333</v>
      </c>
      <c r="J127" s="9">
        <v>0.2780487804878049</v>
      </c>
      <c r="K127" s="8">
        <v>3086</v>
      </c>
      <c r="L127" s="8">
        <v>11</v>
      </c>
      <c r="M127" s="8">
        <v>78</v>
      </c>
      <c r="N127" s="6"/>
    </row>
    <row r="128" spans="1:14">
      <c r="A128" s="5" t="s">
        <v>291</v>
      </c>
      <c r="B128" s="6">
        <v>14</v>
      </c>
      <c r="C128" s="5" t="s">
        <v>292</v>
      </c>
      <c r="D128" s="7">
        <v>-34.569435</v>
      </c>
      <c r="E128" s="7">
        <v>-58.399369</v>
      </c>
      <c r="F128" s="8">
        <v>3049</v>
      </c>
      <c r="G128" s="9">
        <v>0.3594621187274516</v>
      </c>
      <c r="H128" s="9">
        <v>0.2987864873729091</v>
      </c>
      <c r="I128" s="10">
        <v>22.76666666666667</v>
      </c>
      <c r="J128" s="9">
        <v>0.3450311577566415</v>
      </c>
      <c r="K128" s="8">
        <v>3174</v>
      </c>
      <c r="L128" s="8">
        <v>125</v>
      </c>
      <c r="M128" s="8">
        <v>98</v>
      </c>
      <c r="N128" s="6" t="s">
        <v>48</v>
      </c>
    </row>
    <row r="129" spans="1:14">
      <c r="A129" s="5" t="s">
        <v>293</v>
      </c>
      <c r="B129" s="6">
        <v>4</v>
      </c>
      <c r="C129" s="5" t="s">
        <v>294</v>
      </c>
      <c r="D129" s="7">
        <v>-34.6316444</v>
      </c>
      <c r="E129" s="7">
        <v>-58.4053386</v>
      </c>
      <c r="F129" s="8">
        <v>2985</v>
      </c>
      <c r="G129" s="9">
        <v>0.09413735343383585</v>
      </c>
      <c r="H129" s="9">
        <v>0.1614740368509213</v>
      </c>
      <c r="I129" s="10">
        <v>17.13333333333333</v>
      </c>
      <c r="J129" s="9">
        <v>0.3028475711892797</v>
      </c>
      <c r="K129" s="8">
        <v>3594</v>
      </c>
      <c r="L129" s="8">
        <v>609</v>
      </c>
      <c r="M129" s="5"/>
      <c r="N129" s="6"/>
    </row>
    <row r="130" spans="1:14">
      <c r="A130" s="5" t="s">
        <v>295</v>
      </c>
      <c r="B130" s="6">
        <v>2</v>
      </c>
      <c r="C130" s="5" t="s">
        <v>296</v>
      </c>
      <c r="D130" s="7">
        <v>-34.583409</v>
      </c>
      <c r="E130" s="7">
        <v>-58.397735</v>
      </c>
      <c r="F130" s="8">
        <v>2660</v>
      </c>
      <c r="G130" s="9">
        <v>0.2390977443609023</v>
      </c>
      <c r="H130" s="9">
        <v>0.1334586466165414</v>
      </c>
      <c r="I130" s="10">
        <v>19.55</v>
      </c>
      <c r="J130" s="9">
        <v>0.4229323308270677</v>
      </c>
      <c r="K130" s="8">
        <v>2717</v>
      </c>
      <c r="L130" s="8">
        <v>57</v>
      </c>
      <c r="M130" s="5"/>
      <c r="N130" s="6" t="s">
        <v>48</v>
      </c>
    </row>
    <row r="131" spans="1:14">
      <c r="A131" s="5" t="s">
        <v>297</v>
      </c>
      <c r="B131" s="6">
        <v>1</v>
      </c>
      <c r="C131" s="5" t="s">
        <v>298</v>
      </c>
      <c r="D131" s="7">
        <v>-34.600598</v>
      </c>
      <c r="E131" s="7">
        <v>-58.382361</v>
      </c>
      <c r="F131" s="8">
        <v>2615</v>
      </c>
      <c r="G131" s="9">
        <v>0.1464627151051625</v>
      </c>
      <c r="H131" s="9">
        <v>0.05583173996175908</v>
      </c>
      <c r="I131" s="10">
        <v>15.11666666666667</v>
      </c>
      <c r="J131" s="9">
        <v>0.194263862332696</v>
      </c>
      <c r="K131" s="8">
        <v>2536</v>
      </c>
      <c r="L131" s="8">
        <v>-79</v>
      </c>
      <c r="M131" s="5"/>
      <c r="N131" s="6" t="s">
        <v>48</v>
      </c>
    </row>
    <row r="132" spans="1:14">
      <c r="A132" s="5" t="s">
        <v>299</v>
      </c>
      <c r="B132" s="6">
        <v>4</v>
      </c>
      <c r="C132" s="5" t="s">
        <v>300</v>
      </c>
      <c r="D132" s="7">
        <v>-34.6353595</v>
      </c>
      <c r="E132" s="7">
        <v>-58.3876724</v>
      </c>
      <c r="F132" s="8">
        <v>2590</v>
      </c>
      <c r="G132" s="9">
        <v>0.1065637065637066</v>
      </c>
      <c r="H132" s="9">
        <v>0.1061776061776062</v>
      </c>
      <c r="I132" s="10">
        <v>15.6</v>
      </c>
      <c r="J132" s="9">
        <v>0.2756756756756757</v>
      </c>
      <c r="K132" s="8">
        <v>2630</v>
      </c>
      <c r="L132" s="8">
        <v>40</v>
      </c>
      <c r="M132" s="5"/>
      <c r="N132" s="6"/>
    </row>
    <row r="133" spans="1:14">
      <c r="A133" s="5" t="s">
        <v>301</v>
      </c>
      <c r="B133" s="6">
        <v>4</v>
      </c>
      <c r="C133" s="5" t="s">
        <v>302</v>
      </c>
      <c r="D133" s="7">
        <v>-34.628757</v>
      </c>
      <c r="E133" s="7">
        <v>-58.35625900000001</v>
      </c>
      <c r="F133" s="8">
        <v>2270</v>
      </c>
      <c r="G133" s="9">
        <v>0.1466960352422907</v>
      </c>
      <c r="H133" s="9">
        <v>0.1519823788546255</v>
      </c>
      <c r="I133" s="10">
        <v>18.55833333333333</v>
      </c>
      <c r="J133" s="9">
        <v>0.3308370044052864</v>
      </c>
      <c r="K133" s="8">
        <v>2336</v>
      </c>
      <c r="L133" s="8">
        <v>66</v>
      </c>
      <c r="M133" s="5"/>
      <c r="N133" s="6" t="s">
        <v>48</v>
      </c>
    </row>
    <row r="134" spans="1:14">
      <c r="A134" s="5" t="s">
        <v>303</v>
      </c>
      <c r="B134" s="6">
        <v>1</v>
      </c>
      <c r="C134" s="5" t="s">
        <v>304</v>
      </c>
      <c r="D134" s="7">
        <v>-34.6014776</v>
      </c>
      <c r="E134" s="7">
        <v>-58.3821261</v>
      </c>
      <c r="F134" s="8">
        <v>2096</v>
      </c>
      <c r="G134" s="9">
        <v>0.1650763358778626</v>
      </c>
      <c r="H134" s="9">
        <v>0.05534351145038168</v>
      </c>
      <c r="I134" s="10">
        <v>14.425</v>
      </c>
      <c r="J134" s="9">
        <v>0.2113549618320611</v>
      </c>
      <c r="K134" s="8">
        <v>2143</v>
      </c>
      <c r="L134" s="8">
        <v>47</v>
      </c>
      <c r="M134" s="5"/>
      <c r="N134" s="6"/>
    </row>
    <row r="135" spans="1:14">
      <c r="A135" s="5" t="s">
        <v>305</v>
      </c>
      <c r="B135" s="6">
        <v>4</v>
      </c>
      <c r="C135" s="5" t="s">
        <v>306</v>
      </c>
      <c r="D135" s="7">
        <v>-34.64301251074041</v>
      </c>
      <c r="E135" s="7">
        <v>-58.42284285277861</v>
      </c>
      <c r="F135" s="8">
        <v>2030</v>
      </c>
      <c r="G135" s="9">
        <v>0.1359605911330049</v>
      </c>
      <c r="H135" s="9">
        <v>0.1753694581280788</v>
      </c>
      <c r="I135" s="10">
        <v>16.175</v>
      </c>
      <c r="J135" s="9">
        <v>0.2896551724137931</v>
      </c>
      <c r="K135" s="8">
        <v>2192</v>
      </c>
      <c r="L135" s="8">
        <v>162</v>
      </c>
      <c r="M135" s="5"/>
      <c r="N135" s="6"/>
    </row>
    <row r="136" spans="1:14">
      <c r="A136" s="5" t="s">
        <v>307</v>
      </c>
      <c r="B136" s="6">
        <v>14</v>
      </c>
      <c r="C136" s="5" t="s">
        <v>308</v>
      </c>
      <c r="D136" s="7">
        <v>-34.567483</v>
      </c>
      <c r="E136" s="7">
        <v>-58.446381</v>
      </c>
      <c r="F136" s="8">
        <v>1971</v>
      </c>
      <c r="G136" s="9">
        <v>0.1943176052765094</v>
      </c>
      <c r="H136" s="9">
        <v>0.1319127346524607</v>
      </c>
      <c r="I136" s="10">
        <v>22.31666666666667</v>
      </c>
      <c r="J136" s="9">
        <v>0.341451040081177</v>
      </c>
      <c r="K136" s="8">
        <v>1983</v>
      </c>
      <c r="L136" s="8">
        <v>12</v>
      </c>
      <c r="M136" s="5"/>
      <c r="N136" s="6"/>
    </row>
    <row r="137" spans="1:14">
      <c r="A137" s="5" t="s">
        <v>309</v>
      </c>
      <c r="B137" s="6">
        <v>4</v>
      </c>
      <c r="C137" s="5" t="s">
        <v>310</v>
      </c>
      <c r="D137" s="7">
        <v>-34.639807</v>
      </c>
      <c r="E137" s="7">
        <v>-58.39905000000001</v>
      </c>
      <c r="F137" s="8">
        <v>1967</v>
      </c>
      <c r="G137" s="9">
        <v>0.09354346720894764</v>
      </c>
      <c r="H137" s="9">
        <v>0.2907981698017285</v>
      </c>
      <c r="I137" s="10">
        <v>16.53333333333333</v>
      </c>
      <c r="J137" s="9">
        <v>0.315200813421454</v>
      </c>
      <c r="K137" s="8">
        <v>2336</v>
      </c>
      <c r="L137" s="8">
        <v>369</v>
      </c>
      <c r="M137" s="5"/>
      <c r="N137" s="6"/>
    </row>
    <row r="138" spans="1:14">
      <c r="A138" s="5" t="s">
        <v>311</v>
      </c>
      <c r="B138" s="6">
        <v>4</v>
      </c>
      <c r="C138" s="5" t="s">
        <v>312</v>
      </c>
      <c r="D138" s="7">
        <v>-34.64508219943006</v>
      </c>
      <c r="E138" s="7">
        <v>-58.41749173359584</v>
      </c>
      <c r="F138" s="8">
        <v>1723</v>
      </c>
      <c r="G138" s="9">
        <v>0.1381311665699362</v>
      </c>
      <c r="H138" s="9">
        <v>0.2135809634358677</v>
      </c>
      <c r="I138" s="10">
        <v>19.58333333333333</v>
      </c>
      <c r="J138" s="9">
        <v>0.3934997098084736</v>
      </c>
      <c r="K138" s="8">
        <v>1651</v>
      </c>
      <c r="L138" s="8">
        <v>-72</v>
      </c>
      <c r="M138" s="5"/>
      <c r="N138" s="6" t="s">
        <v>48</v>
      </c>
    </row>
    <row r="139" spans="1:14">
      <c r="A139" s="5" t="s">
        <v>313</v>
      </c>
      <c r="B139" s="6">
        <v>14</v>
      </c>
      <c r="C139" s="5" t="s">
        <v>314</v>
      </c>
      <c r="D139" s="7">
        <v>-34.55771</v>
      </c>
      <c r="E139" s="7">
        <v>-58.41033000000001</v>
      </c>
      <c r="F139" s="8">
        <v>1549</v>
      </c>
      <c r="G139" s="9">
        <v>0.3718528082633957</v>
      </c>
      <c r="H139" s="9">
        <v>0.2214331826985152</v>
      </c>
      <c r="I139" s="10">
        <v>27.51666666666667</v>
      </c>
      <c r="J139" s="9">
        <v>0.3311814073595868</v>
      </c>
      <c r="K139" s="8">
        <v>1861</v>
      </c>
      <c r="L139" s="8">
        <v>312</v>
      </c>
      <c r="M139" s="5"/>
      <c r="N139" s="6"/>
    </row>
    <row r="140" spans="1:14">
      <c r="A140" s="5" t="s">
        <v>315</v>
      </c>
      <c r="B140" s="6">
        <v>14</v>
      </c>
      <c r="C140" s="5" t="s">
        <v>316</v>
      </c>
      <c r="D140" s="7">
        <v>-34.583613</v>
      </c>
      <c r="E140" s="7">
        <v>-58.44360200000001</v>
      </c>
      <c r="F140" s="8">
        <v>1534</v>
      </c>
      <c r="G140" s="9">
        <v>0.2033898305084746</v>
      </c>
      <c r="H140" s="9">
        <v>0.1069100391134289</v>
      </c>
      <c r="I140" s="10">
        <v>17.74166666666667</v>
      </c>
      <c r="J140" s="9">
        <v>0.2666232073011734</v>
      </c>
      <c r="K140" s="8">
        <v>1257</v>
      </c>
      <c r="L140" s="8">
        <v>-277</v>
      </c>
      <c r="M140" s="5"/>
      <c r="N140" s="6"/>
    </row>
    <row r="141" spans="1:14">
      <c r="A141" s="5" t="s">
        <v>317</v>
      </c>
      <c r="B141" s="6">
        <v>1</v>
      </c>
      <c r="C141" s="5" t="s">
        <v>318</v>
      </c>
      <c r="D141" s="7">
        <v>-34.620233</v>
      </c>
      <c r="E141" s="7">
        <v>-58.384386</v>
      </c>
      <c r="F141" s="8">
        <v>1363</v>
      </c>
      <c r="G141" s="9">
        <v>0.1166544387380778</v>
      </c>
      <c r="H141" s="9">
        <v>0.08437270726338958</v>
      </c>
      <c r="I141" s="10">
        <v>14.35</v>
      </c>
      <c r="J141" s="9">
        <v>0.3118121790168745</v>
      </c>
      <c r="K141" s="8">
        <v>1368</v>
      </c>
      <c r="L141" s="8">
        <v>5</v>
      </c>
      <c r="M141" s="5"/>
      <c r="N141" s="6"/>
    </row>
    <row r="142" spans="1:14">
      <c r="A142" s="5" t="s">
        <v>319</v>
      </c>
      <c r="B142" s="6">
        <v>4</v>
      </c>
      <c r="C142" s="5" t="s">
        <v>320</v>
      </c>
      <c r="D142" s="7">
        <v>-34.6499971</v>
      </c>
      <c r="E142" s="7">
        <v>-58.42477299999999</v>
      </c>
      <c r="F142" s="8">
        <v>1322</v>
      </c>
      <c r="G142" s="9">
        <v>0.1535552193645991</v>
      </c>
      <c r="H142" s="9">
        <v>0.3018154311649017</v>
      </c>
      <c r="I142" s="10">
        <v>24.675</v>
      </c>
      <c r="J142" s="9">
        <v>0.2639939485627837</v>
      </c>
      <c r="K142" s="8">
        <v>1372</v>
      </c>
      <c r="L142" s="8">
        <v>50</v>
      </c>
      <c r="M142" s="5"/>
      <c r="N142" s="6"/>
    </row>
    <row r="143" spans="1:14">
      <c r="A143" s="5" t="s">
        <v>321</v>
      </c>
      <c r="B143" s="6">
        <v>4</v>
      </c>
      <c r="C143" s="5" t="s">
        <v>322</v>
      </c>
      <c r="D143" s="7">
        <v>-34.641728</v>
      </c>
      <c r="E143" s="7">
        <v>-58.402483</v>
      </c>
      <c r="F143" s="8">
        <v>1278</v>
      </c>
      <c r="G143" s="9">
        <v>0.04929577464788732</v>
      </c>
      <c r="H143" s="9">
        <v>0.1103286384976526</v>
      </c>
      <c r="I143" s="10">
        <v>12.69166666666667</v>
      </c>
      <c r="J143" s="9">
        <v>0.2417840375586854</v>
      </c>
      <c r="K143" s="8">
        <v>1392</v>
      </c>
      <c r="L143" s="8">
        <v>114</v>
      </c>
      <c r="M143" s="5"/>
      <c r="N143" s="6" t="s">
        <v>48</v>
      </c>
    </row>
    <row r="144" spans="1:14">
      <c r="A144" s="5" t="s">
        <v>323</v>
      </c>
      <c r="B144" s="6">
        <v>14</v>
      </c>
      <c r="C144" s="5" t="s">
        <v>324</v>
      </c>
      <c r="D144" s="7">
        <v>-34.553465</v>
      </c>
      <c r="E144" s="7">
        <v>-58.42143999999999</v>
      </c>
      <c r="F144" s="8">
        <v>1025</v>
      </c>
      <c r="G144" s="9">
        <v>0.5180487804878049</v>
      </c>
      <c r="H144" s="9">
        <v>0.4517073170731707</v>
      </c>
      <c r="I144" s="10">
        <v>33.96666666666667</v>
      </c>
      <c r="J144" s="9">
        <v>0.3492682926829268</v>
      </c>
      <c r="K144" s="8">
        <v>1138</v>
      </c>
      <c r="L144" s="8">
        <v>113</v>
      </c>
      <c r="M144" s="5"/>
      <c r="N144" s="6" t="s">
        <v>48</v>
      </c>
    </row>
    <row r="145" spans="1:14">
      <c r="A145" s="5" t="s">
        <v>325</v>
      </c>
      <c r="B145" s="6">
        <v>1</v>
      </c>
      <c r="C145" s="5" t="s">
        <v>326</v>
      </c>
      <c r="D145" s="7">
        <v>-34.59694268462008</v>
      </c>
      <c r="E145" s="7">
        <v>-58.38593823736496</v>
      </c>
      <c r="F145" s="8">
        <v>1001</v>
      </c>
      <c r="G145" s="9">
        <v>0.1288711288711289</v>
      </c>
      <c r="H145" s="9">
        <v>0.04095904095904096</v>
      </c>
      <c r="I145" s="10">
        <v>13.05</v>
      </c>
      <c r="J145" s="9">
        <v>0.2267732267732268</v>
      </c>
      <c r="K145" s="8">
        <v>964</v>
      </c>
      <c r="L145" s="8">
        <v>-37</v>
      </c>
      <c r="M145" s="5"/>
      <c r="N145" s="6"/>
    </row>
    <row r="146" spans="1:14">
      <c r="A146" s="5" t="s">
        <v>327</v>
      </c>
      <c r="B146" s="6">
        <v>14</v>
      </c>
      <c r="C146" s="5" t="s">
        <v>328</v>
      </c>
      <c r="D146" s="7">
        <v>-34.58192003792362</v>
      </c>
      <c r="E146" s="7">
        <v>-58.42028010386262</v>
      </c>
      <c r="F146" s="8">
        <v>864</v>
      </c>
      <c r="G146" s="9">
        <v>0.1886574074074074</v>
      </c>
      <c r="H146" s="9">
        <v>0.08796296296296297</v>
      </c>
      <c r="I146" s="10">
        <v>14.15</v>
      </c>
      <c r="J146" s="9">
        <v>0.3321759259259259</v>
      </c>
      <c r="K146" s="8">
        <v>872</v>
      </c>
      <c r="L146" s="8">
        <v>8</v>
      </c>
      <c r="M146" s="5"/>
      <c r="N146" s="6" t="s">
        <v>48</v>
      </c>
    </row>
    <row r="147" spans="1:14">
      <c r="A147" s="5" t="s">
        <v>329</v>
      </c>
      <c r="B147" s="6">
        <v>14</v>
      </c>
      <c r="C147" s="5" t="s">
        <v>314</v>
      </c>
      <c r="D147" s="7">
        <v>-34.55386</v>
      </c>
      <c r="E147" s="7">
        <v>-58.41949999999999</v>
      </c>
      <c r="F147" s="8">
        <v>859</v>
      </c>
      <c r="G147" s="9">
        <v>0.389988358556461</v>
      </c>
      <c r="H147" s="9">
        <v>0.2887077997671711</v>
      </c>
      <c r="I147" s="10">
        <v>30.73333333333333</v>
      </c>
      <c r="J147" s="9">
        <v>0.3469150174621653</v>
      </c>
      <c r="K147" s="8">
        <v>811</v>
      </c>
      <c r="L147" s="8">
        <v>-48</v>
      </c>
      <c r="M147" s="5"/>
      <c r="N147" s="6"/>
    </row>
    <row r="148" spans="1:14">
      <c r="A148" s="5" t="s">
        <v>330</v>
      </c>
      <c r="B148" s="6">
        <v>1</v>
      </c>
      <c r="C148" s="5" t="s">
        <v>331</v>
      </c>
      <c r="D148" s="7">
        <v>-34.60463069395953</v>
      </c>
      <c r="E148" s="7">
        <v>-58.3608138563446</v>
      </c>
      <c r="F148" s="8">
        <v>707</v>
      </c>
      <c r="G148" s="9">
        <v>0.4512022630834512</v>
      </c>
      <c r="H148" s="9">
        <v>0.2376237623762376</v>
      </c>
      <c r="I148" s="10">
        <v>28.71666666666667</v>
      </c>
      <c r="J148" s="9">
        <v>0.4596888260254597</v>
      </c>
      <c r="K148" s="8">
        <v>710</v>
      </c>
      <c r="L148" s="8">
        <v>3</v>
      </c>
      <c r="M148" s="5"/>
      <c r="N148" s="6"/>
    </row>
    <row r="149" spans="1:14">
      <c r="A149" s="5" t="s">
        <v>332</v>
      </c>
      <c r="B149" s="6">
        <v>14</v>
      </c>
      <c r="C149" s="5" t="s">
        <v>333</v>
      </c>
      <c r="D149" s="7">
        <v>-34.568757</v>
      </c>
      <c r="E149" s="7">
        <v>-58.427288</v>
      </c>
      <c r="F149" s="8">
        <v>531</v>
      </c>
      <c r="G149" s="9">
        <v>0.2919020715630885</v>
      </c>
      <c r="H149" s="9">
        <v>0.07344632768361582</v>
      </c>
      <c r="I149" s="10">
        <v>15.83333333333333</v>
      </c>
      <c r="J149" s="9">
        <v>0.3860640301318267</v>
      </c>
      <c r="K149" s="8">
        <v>610</v>
      </c>
      <c r="L149" s="8">
        <v>79</v>
      </c>
      <c r="M149" s="5"/>
      <c r="N149" s="6"/>
    </row>
    <row r="150" spans="1:14">
      <c r="A150" s="5" t="s">
        <v>334</v>
      </c>
      <c r="B150" s="6">
        <v>14</v>
      </c>
      <c r="C150" s="5" t="s">
        <v>314</v>
      </c>
      <c r="D150" s="7">
        <v>-34.55572</v>
      </c>
      <c r="E150" s="7">
        <v>-58.41320999999999</v>
      </c>
      <c r="F150" s="8">
        <v>523</v>
      </c>
      <c r="G150" s="9">
        <v>0.3384321223709369</v>
      </c>
      <c r="H150" s="9">
        <v>0.1644359464627151</v>
      </c>
      <c r="I150" s="10">
        <v>29.35</v>
      </c>
      <c r="J150" s="9">
        <v>0.3193116634799235</v>
      </c>
      <c r="K150" s="8">
        <v>392</v>
      </c>
      <c r="L150" s="8">
        <v>-131</v>
      </c>
      <c r="M150" s="5"/>
      <c r="N150" s="6" t="s">
        <v>48</v>
      </c>
    </row>
    <row r="151" spans="1:14">
      <c r="A151" s="5" t="s">
        <v>335</v>
      </c>
      <c r="B151" s="6">
        <v>14</v>
      </c>
      <c r="C151" s="5" t="s">
        <v>336</v>
      </c>
      <c r="D151" s="7">
        <v>-34.58755</v>
      </c>
      <c r="E151" s="7">
        <v>-58.43196</v>
      </c>
      <c r="F151" s="8">
        <v>442</v>
      </c>
      <c r="G151" s="9">
        <v>0.3122171945701357</v>
      </c>
      <c r="H151" s="9">
        <v>0.1040723981900453</v>
      </c>
      <c r="I151" s="10">
        <v>16.65833333333333</v>
      </c>
      <c r="J151" s="9">
        <v>0.3167420814479638</v>
      </c>
      <c r="K151" s="8">
        <v>432</v>
      </c>
      <c r="L151" s="8">
        <v>-10</v>
      </c>
      <c r="M151" s="5"/>
      <c r="N151" s="6"/>
    </row>
    <row r="152" spans="1:14">
      <c r="A152" s="5" t="s">
        <v>337</v>
      </c>
      <c r="B152" s="6">
        <v>4</v>
      </c>
      <c r="C152" s="5" t="s">
        <v>338</v>
      </c>
      <c r="D152" s="7">
        <v>-34.64780576045197</v>
      </c>
      <c r="E152" s="7">
        <v>-58.41598466627043</v>
      </c>
      <c r="F152" s="8">
        <v>267</v>
      </c>
      <c r="G152" s="9">
        <v>0.1647940074906367</v>
      </c>
      <c r="H152" s="9">
        <v>0.1722846441947566</v>
      </c>
      <c r="I152" s="10">
        <v>18.98333333333333</v>
      </c>
      <c r="J152" s="9">
        <v>0.400749063670412</v>
      </c>
      <c r="K152" s="8">
        <v>365</v>
      </c>
      <c r="L152" s="8">
        <v>98</v>
      </c>
      <c r="M152" s="5"/>
      <c r="N152" s="6"/>
    </row>
    <row r="153" spans="1:14">
      <c r="A153" s="5" t="s">
        <v>339</v>
      </c>
      <c r="B153" s="6">
        <v>4</v>
      </c>
      <c r="C153" s="5" t="s">
        <v>340</v>
      </c>
      <c r="D153" s="7">
        <v>-34.63676589306402</v>
      </c>
      <c r="E153" s="7">
        <v>-58.37795968650821</v>
      </c>
      <c r="F153" s="8">
        <v>197</v>
      </c>
      <c r="G153" s="9">
        <v>0.1421319796954315</v>
      </c>
      <c r="H153" s="9">
        <v>0.1624365482233502</v>
      </c>
      <c r="I153" s="10">
        <v>15.76666666666667</v>
      </c>
      <c r="J153" s="9">
        <v>0.2487309644670051</v>
      </c>
      <c r="K153" s="8">
        <v>231</v>
      </c>
      <c r="L153" s="8">
        <v>34</v>
      </c>
      <c r="M153" s="5"/>
      <c r="N153" s="6"/>
    </row>
    <row r="154" spans="1:14">
      <c r="A154" s="5" t="s">
        <v>341</v>
      </c>
      <c r="B154" s="6">
        <v>4</v>
      </c>
      <c r="C154" s="5" t="s">
        <v>342</v>
      </c>
      <c r="D154" s="7">
        <v>-34.6544742</v>
      </c>
      <c r="E154" s="7">
        <v>-58.39028691699999</v>
      </c>
      <c r="F154" s="8">
        <v>94</v>
      </c>
      <c r="G154" s="9">
        <v>0.1595744680851064</v>
      </c>
      <c r="H154" s="9">
        <v>0.5851063829787234</v>
      </c>
      <c r="I154" s="10">
        <v>16.96666666666667</v>
      </c>
      <c r="J154" s="9">
        <v>0.3404255319148936</v>
      </c>
      <c r="K154" s="8">
        <v>87</v>
      </c>
      <c r="L154" s="8">
        <v>-7</v>
      </c>
      <c r="M154" s="5"/>
      <c r="N154" s="6"/>
    </row>
  </sheetData>
  <autoFilter ref="A3:N15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8.7109375" customWidth="1"/>
    <col min="2" max="8" width="10.7109375" customWidth="1"/>
  </cols>
  <sheetData>
    <row r="1" spans="1:8">
      <c r="A1" s="3" t="s">
        <v>343</v>
      </c>
    </row>
    <row r="3" spans="1:8" ht="32" customHeight="1">
      <c r="A3" s="4" t="s">
        <v>344</v>
      </c>
      <c r="B3" s="4" t="s">
        <v>345</v>
      </c>
      <c r="C3" s="4" t="s">
        <v>346</v>
      </c>
      <c r="D3" s="4" t="s">
        <v>347</v>
      </c>
      <c r="E3" s="4" t="s">
        <v>348</v>
      </c>
      <c r="F3" s="4" t="s">
        <v>349</v>
      </c>
      <c r="G3" s="4" t="s">
        <v>350</v>
      </c>
      <c r="H3" s="4" t="s">
        <v>351</v>
      </c>
    </row>
    <row r="4" spans="1:8">
      <c r="A4" s="6">
        <v>0</v>
      </c>
      <c r="B4" s="8">
        <v>2795</v>
      </c>
      <c r="C4" s="8">
        <v>2824</v>
      </c>
      <c r="D4" s="8">
        <v>3277</v>
      </c>
      <c r="E4" s="8">
        <v>3513</v>
      </c>
      <c r="F4" s="8">
        <v>3668</v>
      </c>
      <c r="G4" s="8">
        <v>1757</v>
      </c>
      <c r="H4" s="8">
        <v>2257</v>
      </c>
    </row>
    <row r="5" spans="1:8">
      <c r="A5" s="6">
        <v>1</v>
      </c>
      <c r="B5" s="8">
        <v>2257</v>
      </c>
      <c r="C5" s="8">
        <v>1919</v>
      </c>
      <c r="D5" s="8">
        <v>2079</v>
      </c>
      <c r="E5" s="8">
        <v>2401</v>
      </c>
      <c r="F5" s="8">
        <v>2730</v>
      </c>
      <c r="G5" s="8">
        <v>1692</v>
      </c>
      <c r="H5" s="8">
        <v>2152</v>
      </c>
    </row>
    <row r="6" spans="1:8">
      <c r="A6" s="6">
        <v>2</v>
      </c>
      <c r="B6" s="8">
        <v>1335</v>
      </c>
      <c r="C6" s="8">
        <v>984</v>
      </c>
      <c r="D6" s="8">
        <v>1115</v>
      </c>
      <c r="E6" s="8">
        <v>1158</v>
      </c>
      <c r="F6" s="8">
        <v>1562</v>
      </c>
      <c r="G6" s="8">
        <v>1239</v>
      </c>
      <c r="H6" s="8">
        <v>1668</v>
      </c>
    </row>
    <row r="7" spans="1:8">
      <c r="A7" s="6">
        <v>3</v>
      </c>
      <c r="B7" s="8">
        <v>730</v>
      </c>
      <c r="C7" s="8">
        <v>594</v>
      </c>
      <c r="D7" s="8">
        <v>640</v>
      </c>
      <c r="E7" s="8">
        <v>736</v>
      </c>
      <c r="F7" s="8">
        <v>927</v>
      </c>
      <c r="G7" s="8">
        <v>823</v>
      </c>
      <c r="H7" s="8">
        <v>1105</v>
      </c>
    </row>
    <row r="8" spans="1:8">
      <c r="A8" s="6">
        <v>4</v>
      </c>
      <c r="B8" s="8">
        <v>869</v>
      </c>
      <c r="C8" s="8">
        <v>658</v>
      </c>
      <c r="D8" s="8">
        <v>665</v>
      </c>
      <c r="E8" s="8">
        <v>776</v>
      </c>
      <c r="F8" s="8">
        <v>906</v>
      </c>
      <c r="G8" s="8">
        <v>712</v>
      </c>
      <c r="H8" s="8">
        <v>862</v>
      </c>
    </row>
    <row r="9" spans="1:8">
      <c r="A9" s="6">
        <v>5</v>
      </c>
      <c r="B9" s="8">
        <v>2185</v>
      </c>
      <c r="C9" s="8">
        <v>2166</v>
      </c>
      <c r="D9" s="8">
        <v>2109</v>
      </c>
      <c r="E9" s="8">
        <v>2313</v>
      </c>
      <c r="F9" s="8">
        <v>2203</v>
      </c>
      <c r="G9" s="8">
        <v>761</v>
      </c>
      <c r="H9" s="8">
        <v>935</v>
      </c>
    </row>
    <row r="10" spans="1:8">
      <c r="A10" s="6">
        <v>6</v>
      </c>
      <c r="B10" s="8">
        <v>4568</v>
      </c>
      <c r="C10" s="8">
        <v>5070</v>
      </c>
      <c r="D10" s="8">
        <v>5106</v>
      </c>
      <c r="E10" s="8">
        <v>5024</v>
      </c>
      <c r="F10" s="8">
        <v>5039</v>
      </c>
      <c r="G10" s="8">
        <v>840</v>
      </c>
      <c r="H10" s="8">
        <v>959</v>
      </c>
    </row>
    <row r="11" spans="1:8">
      <c r="A11" s="6">
        <v>7</v>
      </c>
      <c r="B11" s="8">
        <v>8214</v>
      </c>
      <c r="C11" s="8">
        <v>9224</v>
      </c>
      <c r="D11" s="8">
        <v>8790</v>
      </c>
      <c r="E11" s="8">
        <v>9069</v>
      </c>
      <c r="F11" s="8">
        <v>8715</v>
      </c>
      <c r="G11" s="8">
        <v>848</v>
      </c>
      <c r="H11" s="8">
        <v>990</v>
      </c>
    </row>
    <row r="12" spans="1:8">
      <c r="A12" s="6">
        <v>8</v>
      </c>
      <c r="B12" s="8">
        <v>10868</v>
      </c>
      <c r="C12" s="8">
        <v>11908</v>
      </c>
      <c r="D12" s="8">
        <v>11629</v>
      </c>
      <c r="E12" s="8">
        <v>11936</v>
      </c>
      <c r="F12" s="8">
        <v>10971</v>
      </c>
      <c r="G12" s="8">
        <v>1267</v>
      </c>
      <c r="H12" s="8">
        <v>1060</v>
      </c>
    </row>
    <row r="13" spans="1:8">
      <c r="A13" s="6">
        <v>9</v>
      </c>
      <c r="B13" s="8">
        <v>8923</v>
      </c>
      <c r="C13" s="8">
        <v>10359</v>
      </c>
      <c r="D13" s="8">
        <v>10076</v>
      </c>
      <c r="E13" s="8">
        <v>10658</v>
      </c>
      <c r="F13" s="8">
        <v>9784</v>
      </c>
      <c r="G13" s="8">
        <v>1938</v>
      </c>
      <c r="H13" s="8">
        <v>1949</v>
      </c>
    </row>
    <row r="14" spans="1:8">
      <c r="A14" s="6">
        <v>10</v>
      </c>
      <c r="B14" s="8">
        <v>7206</v>
      </c>
      <c r="C14" s="8">
        <v>8440</v>
      </c>
      <c r="D14" s="8">
        <v>8302</v>
      </c>
      <c r="E14" s="8">
        <v>8685</v>
      </c>
      <c r="F14" s="8">
        <v>8428</v>
      </c>
      <c r="G14" s="8">
        <v>2817</v>
      </c>
      <c r="H14" s="8">
        <v>2993</v>
      </c>
    </row>
    <row r="15" spans="1:8">
      <c r="A15" s="6">
        <v>11</v>
      </c>
      <c r="B15" s="8">
        <v>8776</v>
      </c>
      <c r="C15" s="8">
        <v>9625</v>
      </c>
      <c r="D15" s="8">
        <v>9369</v>
      </c>
      <c r="E15" s="8">
        <v>9898</v>
      </c>
      <c r="F15" s="8">
        <v>9732</v>
      </c>
      <c r="G15" s="8">
        <v>3939</v>
      </c>
      <c r="H15" s="8">
        <v>4138</v>
      </c>
    </row>
    <row r="16" spans="1:8">
      <c r="A16" s="6">
        <v>12</v>
      </c>
      <c r="B16" s="8">
        <v>11708</v>
      </c>
      <c r="C16" s="8">
        <v>12507</v>
      </c>
      <c r="D16" s="8">
        <v>12053</v>
      </c>
      <c r="E16" s="8">
        <v>12302</v>
      </c>
      <c r="F16" s="8">
        <v>12686</v>
      </c>
      <c r="G16" s="8">
        <v>5034</v>
      </c>
      <c r="H16" s="8">
        <v>4947</v>
      </c>
    </row>
    <row r="17" spans="1:8">
      <c r="A17" s="6">
        <v>13</v>
      </c>
      <c r="B17" s="8">
        <v>13854</v>
      </c>
      <c r="C17" s="8">
        <v>14341</v>
      </c>
      <c r="D17" s="8">
        <v>14286</v>
      </c>
      <c r="E17" s="8">
        <v>14497</v>
      </c>
      <c r="F17" s="8">
        <v>13906</v>
      </c>
      <c r="G17" s="8">
        <v>5643</v>
      </c>
      <c r="H17" s="8">
        <v>5401</v>
      </c>
    </row>
    <row r="18" spans="1:8">
      <c r="A18" s="6">
        <v>14</v>
      </c>
      <c r="B18" s="8">
        <v>13265</v>
      </c>
      <c r="C18" s="8">
        <v>14467</v>
      </c>
      <c r="D18" s="8">
        <v>14040</v>
      </c>
      <c r="E18" s="8">
        <v>14653</v>
      </c>
      <c r="F18" s="8">
        <v>13961</v>
      </c>
      <c r="G18" s="8">
        <v>6430</v>
      </c>
      <c r="H18" s="8">
        <v>6551</v>
      </c>
    </row>
    <row r="19" spans="1:8">
      <c r="A19" s="6">
        <v>15</v>
      </c>
      <c r="B19" s="8">
        <v>15154</v>
      </c>
      <c r="C19" s="8">
        <v>15549</v>
      </c>
      <c r="D19" s="8">
        <v>15472</v>
      </c>
      <c r="E19" s="8">
        <v>15848</v>
      </c>
      <c r="F19" s="8">
        <v>15049</v>
      </c>
      <c r="G19" s="8">
        <v>7664</v>
      </c>
      <c r="H19" s="8">
        <v>8184</v>
      </c>
    </row>
    <row r="20" spans="1:8">
      <c r="A20" s="6">
        <v>16</v>
      </c>
      <c r="B20" s="8">
        <v>18513</v>
      </c>
      <c r="C20" s="8">
        <v>19153</v>
      </c>
      <c r="D20" s="8">
        <v>18760</v>
      </c>
      <c r="E20" s="8">
        <v>19251</v>
      </c>
      <c r="F20" s="8">
        <v>17613</v>
      </c>
      <c r="G20" s="8">
        <v>9112</v>
      </c>
      <c r="H20" s="8">
        <v>9559</v>
      </c>
    </row>
    <row r="21" spans="1:8">
      <c r="A21" s="6">
        <v>17</v>
      </c>
      <c r="B21" s="8">
        <v>20500</v>
      </c>
      <c r="C21" s="8">
        <v>21340</v>
      </c>
      <c r="D21" s="8">
        <v>20863</v>
      </c>
      <c r="E21" s="8">
        <v>21617</v>
      </c>
      <c r="F21" s="8">
        <v>19329</v>
      </c>
      <c r="G21" s="8">
        <v>9041</v>
      </c>
      <c r="H21" s="8">
        <v>9306</v>
      </c>
    </row>
    <row r="22" spans="1:8">
      <c r="A22" s="6">
        <v>18</v>
      </c>
      <c r="B22" s="8">
        <v>19092</v>
      </c>
      <c r="C22" s="8">
        <v>20410</v>
      </c>
      <c r="D22" s="8">
        <v>18960</v>
      </c>
      <c r="E22" s="8">
        <v>19948</v>
      </c>
      <c r="F22" s="8">
        <v>17396</v>
      </c>
      <c r="G22" s="8">
        <v>8060</v>
      </c>
      <c r="H22" s="8">
        <v>8571</v>
      </c>
    </row>
    <row r="23" spans="1:8">
      <c r="A23" s="6">
        <v>19</v>
      </c>
      <c r="B23" s="8">
        <v>12904</v>
      </c>
      <c r="C23" s="8">
        <v>13961</v>
      </c>
      <c r="D23" s="8">
        <v>13733</v>
      </c>
      <c r="E23" s="8">
        <v>13769</v>
      </c>
      <c r="F23" s="8">
        <v>12123</v>
      </c>
      <c r="G23" s="8">
        <v>6407</v>
      </c>
      <c r="H23" s="8">
        <v>6617</v>
      </c>
    </row>
    <row r="24" spans="1:8">
      <c r="A24" s="6">
        <v>20</v>
      </c>
      <c r="B24" s="8">
        <v>10664</v>
      </c>
      <c r="C24" s="8">
        <v>11418</v>
      </c>
      <c r="D24" s="8">
        <v>11211</v>
      </c>
      <c r="E24" s="8">
        <v>11206</v>
      </c>
      <c r="F24" s="8">
        <v>9961</v>
      </c>
      <c r="G24" s="8">
        <v>4557</v>
      </c>
      <c r="H24" s="8">
        <v>4501</v>
      </c>
    </row>
    <row r="25" spans="1:8">
      <c r="A25" s="6">
        <v>21</v>
      </c>
      <c r="B25" s="8">
        <v>7683</v>
      </c>
      <c r="C25" s="8">
        <v>7725</v>
      </c>
      <c r="D25" s="8">
        <v>8131</v>
      </c>
      <c r="E25" s="8">
        <v>7772</v>
      </c>
      <c r="F25" s="8">
        <v>7238</v>
      </c>
      <c r="G25" s="8">
        <v>3216</v>
      </c>
      <c r="H25" s="8">
        <v>2736</v>
      </c>
    </row>
    <row r="26" spans="1:8">
      <c r="A26" s="6">
        <v>22</v>
      </c>
      <c r="B26" s="8">
        <v>5076</v>
      </c>
      <c r="C26" s="8">
        <v>5315</v>
      </c>
      <c r="D26" s="8">
        <v>5562</v>
      </c>
      <c r="E26" s="8">
        <v>5356</v>
      </c>
      <c r="F26" s="8">
        <v>5193</v>
      </c>
      <c r="G26" s="8">
        <v>2583</v>
      </c>
      <c r="H26" s="8">
        <v>2029</v>
      </c>
    </row>
    <row r="27" spans="1:8">
      <c r="A27" s="6">
        <v>23</v>
      </c>
      <c r="B27" s="8">
        <v>3390</v>
      </c>
      <c r="C27" s="8">
        <v>3941</v>
      </c>
      <c r="D27" s="8">
        <v>4091</v>
      </c>
      <c r="E27" s="8">
        <v>4170</v>
      </c>
      <c r="F27" s="8">
        <v>3974</v>
      </c>
      <c r="G27" s="8">
        <v>2255</v>
      </c>
      <c r="H27" s="8">
        <v>1579</v>
      </c>
    </row>
  </sheetData>
  <autoFilter ref="A3:H27"/>
  <conditionalFormatting sqref="B4:H27">
    <cfRule type="colorScale" priority="1">
      <colorScale>
        <cfvo type="min" val="0"/>
        <cfvo type="percentile" val="50"/>
        <cfvo type="max" val="0"/>
        <color rgb="FFFFFFFF"/>
        <color rgb="FF9DC3E6"/>
        <color rgb="FF1F4E79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6.7109375" customWidth="1"/>
    <col min="2" max="3" width="12.7109375" customWidth="1"/>
    <col min="4" max="5" width="14.7109375" customWidth="1"/>
  </cols>
  <sheetData>
    <row r="1" spans="1:5">
      <c r="A1" s="3" t="s">
        <v>352</v>
      </c>
    </row>
    <row r="3" spans="1:5" ht="32" customHeight="1">
      <c r="A3" s="4" t="s">
        <v>353</v>
      </c>
      <c r="B3" s="4" t="s">
        <v>354</v>
      </c>
      <c r="C3" s="4" t="s">
        <v>36</v>
      </c>
      <c r="D3" s="4" t="s">
        <v>35</v>
      </c>
      <c r="E3" s="4" t="s">
        <v>37</v>
      </c>
    </row>
    <row r="4" spans="1:5">
      <c r="A4" s="5" t="s">
        <v>355</v>
      </c>
      <c r="B4" s="8">
        <v>1062159</v>
      </c>
      <c r="C4" s="10">
        <v>13.1</v>
      </c>
      <c r="D4" s="9">
        <v>0.07822463491812431</v>
      </c>
      <c r="E4" s="9">
        <v>0.2744617331303505</v>
      </c>
    </row>
    <row r="5" spans="1:5">
      <c r="A5" s="5" t="s">
        <v>356</v>
      </c>
      <c r="B5" s="8">
        <v>211921</v>
      </c>
      <c r="C5" s="10">
        <v>25.55</v>
      </c>
      <c r="D5" s="9">
        <v>0.1726303669763733</v>
      </c>
      <c r="E5" s="9">
        <v>0.2971012783065388</v>
      </c>
    </row>
  </sheetData>
  <autoFilter ref="A3:E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6.7109375" customWidth="1"/>
    <col min="2" max="3" width="12.7109375" customWidth="1"/>
    <col min="4" max="5" width="14.7109375" customWidth="1"/>
  </cols>
  <sheetData>
    <row r="1" spans="1:5">
      <c r="A1" s="3" t="s">
        <v>357</v>
      </c>
    </row>
    <row r="3" spans="1:5" ht="32" customHeight="1">
      <c r="A3" s="4" t="s">
        <v>358</v>
      </c>
      <c r="B3" s="4" t="s">
        <v>354</v>
      </c>
      <c r="C3" s="4" t="s">
        <v>36</v>
      </c>
      <c r="D3" s="4" t="s">
        <v>35</v>
      </c>
      <c r="E3" s="4" t="s">
        <v>34</v>
      </c>
    </row>
    <row r="4" spans="1:5">
      <c r="A4" s="5" t="s">
        <v>359</v>
      </c>
      <c r="B4" s="8">
        <v>68057</v>
      </c>
      <c r="C4" s="10">
        <v>14.3</v>
      </c>
      <c r="D4" s="9">
        <v>0.1081593370263162</v>
      </c>
      <c r="E4" s="9">
        <v>0.27268319203021</v>
      </c>
    </row>
    <row r="5" spans="1:5">
      <c r="A5" s="5" t="s">
        <v>360</v>
      </c>
      <c r="B5" s="8">
        <v>288130</v>
      </c>
      <c r="C5" s="10">
        <v>11.73333333333333</v>
      </c>
      <c r="D5" s="9">
        <v>0.05835560337347725</v>
      </c>
      <c r="E5" s="9">
        <v>0.09604692326380453</v>
      </c>
    </row>
    <row r="6" spans="1:5">
      <c r="A6" s="5" t="s">
        <v>361</v>
      </c>
      <c r="B6" s="8">
        <v>563409</v>
      </c>
      <c r="C6" s="10">
        <v>15.21666666666667</v>
      </c>
      <c r="D6" s="9">
        <v>0.09849505421461141</v>
      </c>
      <c r="E6" s="9">
        <v>0.1823311306706141</v>
      </c>
    </row>
    <row r="7" spans="1:5">
      <c r="A7" s="5" t="s">
        <v>362</v>
      </c>
      <c r="B7" s="8">
        <v>299970</v>
      </c>
      <c r="C7" s="10">
        <v>15.66666666666667</v>
      </c>
      <c r="D7" s="9">
        <v>0.1114778144481115</v>
      </c>
      <c r="E7" s="9">
        <v>0.1771443811047771</v>
      </c>
    </row>
    <row r="8" spans="1:5">
      <c r="A8" s="5" t="s">
        <v>363</v>
      </c>
      <c r="B8" s="8">
        <v>54514</v>
      </c>
      <c r="C8" s="10">
        <v>14.53333333333333</v>
      </c>
      <c r="D8" s="9">
        <v>0.1203910921965</v>
      </c>
      <c r="E8" s="9">
        <v>0.1802105881058077</v>
      </c>
    </row>
  </sheetData>
  <autoFilter ref="A3:E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3" width="12.7109375" customWidth="1"/>
    <col min="4" max="4" width="14.7109375" customWidth="1"/>
  </cols>
  <sheetData>
    <row r="1" spans="1:4">
      <c r="A1" s="3" t="s">
        <v>364</v>
      </c>
    </row>
    <row r="3" spans="1:4" ht="32" customHeight="1">
      <c r="A3" s="4" t="s">
        <v>365</v>
      </c>
      <c r="B3" s="4" t="s">
        <v>354</v>
      </c>
      <c r="C3" s="4" t="s">
        <v>36</v>
      </c>
      <c r="D3" s="4" t="s">
        <v>35</v>
      </c>
    </row>
    <row r="4" spans="1:4">
      <c r="A4" s="5" t="s">
        <v>345</v>
      </c>
      <c r="B4" s="8">
        <v>210529</v>
      </c>
      <c r="C4" s="10">
        <v>13.28333333333333</v>
      </c>
      <c r="D4" s="9">
        <v>0.08664839523296078</v>
      </c>
    </row>
    <row r="5" spans="1:4">
      <c r="A5" s="5" t="s">
        <v>346</v>
      </c>
      <c r="B5" s="8">
        <v>223898</v>
      </c>
      <c r="C5" s="10">
        <v>13.16666666666667</v>
      </c>
      <c r="D5" s="9">
        <v>0.07936203092479611</v>
      </c>
    </row>
    <row r="6" spans="1:4">
      <c r="A6" s="5" t="s">
        <v>347</v>
      </c>
      <c r="B6" s="8">
        <v>220319</v>
      </c>
      <c r="C6" s="10">
        <v>13.25</v>
      </c>
      <c r="D6" s="9">
        <v>0.07824109586554043</v>
      </c>
    </row>
    <row r="7" spans="1:4">
      <c r="A7" s="5" t="s">
        <v>348</v>
      </c>
      <c r="B7" s="8">
        <v>226556</v>
      </c>
      <c r="C7" s="10">
        <v>13.35</v>
      </c>
      <c r="D7" s="9">
        <v>0.07812196543018061</v>
      </c>
    </row>
    <row r="8" spans="1:4">
      <c r="A8" s="5" t="s">
        <v>349</v>
      </c>
      <c r="B8" s="8">
        <v>213094</v>
      </c>
      <c r="C8" s="10">
        <v>13.46666666666667</v>
      </c>
      <c r="D8" s="9">
        <v>0.08424451181168874</v>
      </c>
    </row>
    <row r="9" spans="1:4">
      <c r="A9" s="5" t="s">
        <v>350</v>
      </c>
      <c r="B9" s="8">
        <v>88635</v>
      </c>
      <c r="C9" s="10">
        <v>24.53333333333333</v>
      </c>
      <c r="D9" s="9">
        <v>0.1575111411970441</v>
      </c>
    </row>
    <row r="10" spans="1:4">
      <c r="A10" s="5" t="s">
        <v>351</v>
      </c>
      <c r="B10" s="8">
        <v>91049</v>
      </c>
      <c r="C10" s="10">
        <v>26.58333333333333</v>
      </c>
      <c r="D10" s="9">
        <v>0.1846258608002284</v>
      </c>
    </row>
  </sheetData>
  <autoFilter ref="A3:D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3" width="12.7109375" customWidth="1"/>
    <col min="4" max="4" width="14.7109375" customWidth="1"/>
  </cols>
  <sheetData>
    <row r="1" spans="1:4">
      <c r="A1" s="3" t="s">
        <v>366</v>
      </c>
    </row>
    <row r="3" spans="1:4" ht="32" customHeight="1">
      <c r="A3" s="4" t="s">
        <v>367</v>
      </c>
      <c r="B3" s="4" t="s">
        <v>354</v>
      </c>
      <c r="C3" s="4" t="s">
        <v>36</v>
      </c>
      <c r="D3" s="4" t="s">
        <v>34</v>
      </c>
    </row>
    <row r="4" spans="1:4">
      <c r="A4" s="5" t="s">
        <v>368</v>
      </c>
      <c r="B4" s="8">
        <v>109121</v>
      </c>
      <c r="C4" s="10">
        <v>15.86666666666667</v>
      </c>
      <c r="D4" s="9">
        <v>0.1639922654667754</v>
      </c>
    </row>
    <row r="5" spans="1:4">
      <c r="A5" s="5" t="s">
        <v>369</v>
      </c>
      <c r="B5" s="8">
        <v>101500</v>
      </c>
      <c r="C5" s="10">
        <v>15.11666666666667</v>
      </c>
      <c r="D5" s="9">
        <v>0.1788669950738916</v>
      </c>
    </row>
    <row r="6" spans="1:4">
      <c r="A6" s="5" t="s">
        <v>346</v>
      </c>
      <c r="B6" s="8">
        <v>117697</v>
      </c>
      <c r="C6" s="10">
        <v>14.83333333333333</v>
      </c>
      <c r="D6" s="9">
        <v>0.2542290797556437</v>
      </c>
    </row>
    <row r="7" spans="1:4">
      <c r="A7" s="5" t="s">
        <v>370</v>
      </c>
      <c r="B7" s="8">
        <v>103803</v>
      </c>
      <c r="C7" s="10">
        <v>13.55</v>
      </c>
      <c r="D7" s="9">
        <v>0.171603903548067</v>
      </c>
    </row>
    <row r="8" spans="1:4">
      <c r="A8" s="5" t="s">
        <v>371</v>
      </c>
      <c r="B8" s="8">
        <v>98130</v>
      </c>
      <c r="C8" s="10">
        <v>12.63333333333333</v>
      </c>
      <c r="D8" s="9">
        <v>0.08240089676959136</v>
      </c>
    </row>
    <row r="9" spans="1:4">
      <c r="A9" s="5" t="s">
        <v>372</v>
      </c>
      <c r="B9" s="8">
        <v>89795</v>
      </c>
      <c r="C9" s="10">
        <v>13.63333333333333</v>
      </c>
      <c r="D9" s="9">
        <v>0.1878166935798207</v>
      </c>
    </row>
    <row r="10" spans="1:4">
      <c r="A10" s="5" t="s">
        <v>373</v>
      </c>
      <c r="B10" s="8">
        <v>88979</v>
      </c>
      <c r="C10" s="10">
        <v>13.55</v>
      </c>
      <c r="D10" s="9">
        <v>0.1119590015621664</v>
      </c>
    </row>
    <row r="11" spans="1:4">
      <c r="A11" s="5" t="s">
        <v>374</v>
      </c>
      <c r="B11" s="8">
        <v>85613</v>
      </c>
      <c r="C11" s="10">
        <v>13.25</v>
      </c>
      <c r="D11" s="9">
        <v>0.1227850910492565</v>
      </c>
    </row>
    <row r="12" spans="1:4">
      <c r="A12" s="5" t="s">
        <v>375</v>
      </c>
      <c r="B12" s="8">
        <v>122994</v>
      </c>
      <c r="C12" s="10">
        <v>14.63333333333333</v>
      </c>
      <c r="D12" s="9">
        <v>0.1746589264516968</v>
      </c>
    </row>
    <row r="13" spans="1:4">
      <c r="A13" s="5" t="s">
        <v>376</v>
      </c>
      <c r="B13" s="8">
        <v>127515</v>
      </c>
      <c r="C13" s="10">
        <v>14.66666666666667</v>
      </c>
      <c r="D13" s="9">
        <v>0.1666470611300631</v>
      </c>
    </row>
    <row r="14" spans="1:4">
      <c r="A14" s="5" t="s">
        <v>377</v>
      </c>
      <c r="B14" s="8">
        <v>121172</v>
      </c>
      <c r="C14" s="10">
        <v>14.9</v>
      </c>
      <c r="D14" s="9">
        <v>0.1774254778331628</v>
      </c>
    </row>
    <row r="15" spans="1:4">
      <c r="A15" s="5" t="s">
        <v>378</v>
      </c>
      <c r="B15" s="8">
        <v>107761</v>
      </c>
      <c r="C15" s="10">
        <v>14.81666666666667</v>
      </c>
      <c r="D15" s="9">
        <v>0.1714906134872542</v>
      </c>
    </row>
  </sheetData>
  <autoFilter ref="A3:D1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3" width="12.7109375" customWidth="1"/>
    <col min="4" max="6" width="14.7109375" customWidth="1"/>
  </cols>
  <sheetData>
    <row r="1" spans="1:6">
      <c r="A1" s="3" t="s">
        <v>379</v>
      </c>
    </row>
    <row r="3" spans="1:6" ht="32" customHeight="1">
      <c r="A3" s="4" t="s">
        <v>29</v>
      </c>
      <c r="B3" s="4" t="s">
        <v>354</v>
      </c>
      <c r="C3" s="4" t="s">
        <v>36</v>
      </c>
      <c r="D3" s="4" t="s">
        <v>35</v>
      </c>
      <c r="E3" s="4" t="s">
        <v>34</v>
      </c>
      <c r="F3" s="4" t="s">
        <v>37</v>
      </c>
    </row>
    <row r="4" spans="1:6">
      <c r="A4" s="6">
        <v>1</v>
      </c>
      <c r="B4" s="8">
        <v>574328</v>
      </c>
      <c r="C4" s="10">
        <v>13.15</v>
      </c>
      <c r="D4" s="9">
        <v>0.07642845203437756</v>
      </c>
      <c r="E4" s="9">
        <v>0.1339495897814489</v>
      </c>
      <c r="F4" s="9">
        <v>0.2229962669415386</v>
      </c>
    </row>
    <row r="5" spans="1:6">
      <c r="A5" s="6">
        <v>2</v>
      </c>
      <c r="B5" s="8">
        <v>202834</v>
      </c>
      <c r="C5" s="10">
        <v>14.35</v>
      </c>
      <c r="D5" s="9">
        <v>0.06650758748533284</v>
      </c>
      <c r="E5" s="9">
        <v>0.1569855152489228</v>
      </c>
      <c r="F5" s="9">
        <v>0.3088929863829535</v>
      </c>
    </row>
    <row r="6" spans="1:6">
      <c r="A6" s="6">
        <v>4</v>
      </c>
      <c r="B6" s="8">
        <v>112226</v>
      </c>
      <c r="C6" s="10">
        <v>16.26666666666667</v>
      </c>
      <c r="D6" s="9">
        <v>0.1562293942580151</v>
      </c>
      <c r="E6" s="9">
        <v>0.1324915794913835</v>
      </c>
      <c r="F6" s="9">
        <v>0.3106232067435354</v>
      </c>
    </row>
    <row r="7" spans="1:6">
      <c r="A7" s="6">
        <v>14</v>
      </c>
      <c r="B7" s="8">
        <v>384692</v>
      </c>
      <c r="C7" s="10">
        <v>15.8</v>
      </c>
      <c r="D7" s="9">
        <v>0.1163346261424724</v>
      </c>
      <c r="E7" s="9">
        <v>0.2294796876462209</v>
      </c>
      <c r="F7" s="9">
        <v>0.3350654549613717</v>
      </c>
    </row>
  </sheetData>
  <autoFilter ref="A3:F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4.7109375" customWidth="1"/>
    <col min="2" max="5" width="12.7109375" customWidth="1"/>
  </cols>
  <sheetData>
    <row r="1" spans="1:5">
      <c r="A1" s="3" t="s">
        <v>380</v>
      </c>
    </row>
    <row r="3" spans="1:5" ht="32" customHeight="1">
      <c r="A3" s="4" t="s">
        <v>381</v>
      </c>
      <c r="B3" s="4" t="s">
        <v>382</v>
      </c>
      <c r="C3" s="4" t="s">
        <v>383</v>
      </c>
      <c r="D3" s="4" t="s">
        <v>384</v>
      </c>
      <c r="E3" s="4" t="s">
        <v>385</v>
      </c>
    </row>
    <row r="4" spans="1:5">
      <c r="A4" s="5" t="s">
        <v>386</v>
      </c>
      <c r="B4" s="8">
        <v>444321</v>
      </c>
      <c r="C4" s="8">
        <v>56989</v>
      </c>
      <c r="D4" s="8">
        <v>45937</v>
      </c>
      <c r="E4" s="8">
        <v>27081</v>
      </c>
    </row>
    <row r="5" spans="1:5">
      <c r="A5" s="5" t="s">
        <v>387</v>
      </c>
      <c r="B5" s="8">
        <v>53822</v>
      </c>
      <c r="C5" s="8">
        <v>75158</v>
      </c>
      <c r="D5" s="8">
        <v>3117</v>
      </c>
      <c r="E5" s="8">
        <v>70737</v>
      </c>
    </row>
    <row r="6" spans="1:5">
      <c r="A6" s="5" t="s">
        <v>388</v>
      </c>
      <c r="B6" s="8">
        <v>40227</v>
      </c>
      <c r="C6" s="8">
        <v>2493</v>
      </c>
      <c r="D6" s="8">
        <v>67703</v>
      </c>
      <c r="E6" s="8">
        <v>1803</v>
      </c>
    </row>
    <row r="7" spans="1:5">
      <c r="A7" s="5" t="s">
        <v>389</v>
      </c>
      <c r="B7" s="8">
        <v>25410</v>
      </c>
      <c r="C7" s="8">
        <v>71209</v>
      </c>
      <c r="D7" s="8">
        <v>2302</v>
      </c>
      <c r="E7" s="8">
        <v>285771</v>
      </c>
    </row>
  </sheetData>
  <autoFilter ref="A3:E7"/>
  <conditionalFormatting sqref="B4:E7">
    <cfRule type="colorScale" priority="1">
      <colorScale>
        <cfvo type="min" val="0"/>
        <cfvo type="max" val="0"/>
        <color rgb="FFFFFFFF"/>
        <color rgb="FF2E75B6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43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34.7109375" customWidth="1"/>
    <col min="3" max="3" width="10.7109375" customWidth="1"/>
    <col min="4" max="4" width="12.7109375" customWidth="1"/>
    <col min="5" max="5" width="14.7109375" customWidth="1"/>
  </cols>
  <sheetData>
    <row r="1" spans="1:5">
      <c r="A1" s="3" t="s">
        <v>390</v>
      </c>
    </row>
    <row r="3" spans="1:5" ht="32" customHeight="1">
      <c r="A3" s="4" t="s">
        <v>391</v>
      </c>
      <c r="B3" s="4" t="s">
        <v>392</v>
      </c>
      <c r="C3" s="4" t="s">
        <v>354</v>
      </c>
      <c r="D3" s="4" t="s">
        <v>36</v>
      </c>
      <c r="E3" s="4" t="s">
        <v>34</v>
      </c>
    </row>
    <row r="4" spans="1:5">
      <c r="A4" s="5" t="s">
        <v>46</v>
      </c>
      <c r="B4" s="5" t="s">
        <v>44</v>
      </c>
      <c r="C4" s="8">
        <v>3985</v>
      </c>
      <c r="D4" s="10">
        <v>5.85</v>
      </c>
      <c r="E4" s="9">
        <v>0.1939774153074028</v>
      </c>
    </row>
    <row r="5" spans="1:5">
      <c r="A5" s="5" t="s">
        <v>44</v>
      </c>
      <c r="B5" s="5" t="s">
        <v>46</v>
      </c>
      <c r="C5" s="8">
        <v>3980</v>
      </c>
      <c r="D5" s="10">
        <v>5.65</v>
      </c>
      <c r="E5" s="9">
        <v>0.1846733668341708</v>
      </c>
    </row>
    <row r="6" spans="1:5">
      <c r="A6" s="5" t="s">
        <v>73</v>
      </c>
      <c r="B6" s="5" t="s">
        <v>53</v>
      </c>
      <c r="C6" s="8">
        <v>2888</v>
      </c>
      <c r="D6" s="10">
        <v>9.083333333333334</v>
      </c>
      <c r="E6" s="9">
        <v>0.07202216066481995</v>
      </c>
    </row>
    <row r="7" spans="1:5">
      <c r="A7" s="5" t="s">
        <v>53</v>
      </c>
      <c r="B7" s="5" t="s">
        <v>73</v>
      </c>
      <c r="C7" s="8">
        <v>2723</v>
      </c>
      <c r="D7" s="10">
        <v>7.583333333333333</v>
      </c>
      <c r="E7" s="9">
        <v>0.1123760558207859</v>
      </c>
    </row>
    <row r="8" spans="1:5">
      <c r="A8" s="5" t="s">
        <v>157</v>
      </c>
      <c r="B8" s="5" t="s">
        <v>51</v>
      </c>
      <c r="C8" s="8">
        <v>2156</v>
      </c>
      <c r="D8" s="10">
        <v>7.666666666666667</v>
      </c>
      <c r="E8" s="9">
        <v>0.07096474953617811</v>
      </c>
    </row>
    <row r="9" spans="1:5">
      <c r="A9" s="5" t="s">
        <v>57</v>
      </c>
      <c r="B9" s="5" t="s">
        <v>63</v>
      </c>
      <c r="C9" s="8">
        <v>2103</v>
      </c>
      <c r="D9" s="10">
        <v>12.06666666666667</v>
      </c>
      <c r="E9" s="9">
        <v>0.1088920589633856</v>
      </c>
    </row>
    <row r="10" spans="1:5">
      <c r="A10" s="5" t="s">
        <v>83</v>
      </c>
      <c r="B10" s="5" t="s">
        <v>51</v>
      </c>
      <c r="C10" s="8">
        <v>1930</v>
      </c>
      <c r="D10" s="10">
        <v>7.866666666666666</v>
      </c>
      <c r="E10" s="9">
        <v>0.03989637305699482</v>
      </c>
    </row>
    <row r="11" spans="1:5">
      <c r="A11" s="5" t="s">
        <v>51</v>
      </c>
      <c r="B11" s="5" t="s">
        <v>157</v>
      </c>
      <c r="C11" s="8">
        <v>1919</v>
      </c>
      <c r="D11" s="10">
        <v>8.449999999999999</v>
      </c>
      <c r="E11" s="9">
        <v>0.09327774882751433</v>
      </c>
    </row>
    <row r="12" spans="1:5">
      <c r="A12" s="5" t="s">
        <v>61</v>
      </c>
      <c r="B12" s="5" t="s">
        <v>55</v>
      </c>
      <c r="C12" s="8">
        <v>1837</v>
      </c>
      <c r="D12" s="10">
        <v>10.8</v>
      </c>
      <c r="E12" s="9">
        <v>0.2618399564507349</v>
      </c>
    </row>
    <row r="13" spans="1:5">
      <c r="A13" s="5" t="s">
        <v>129</v>
      </c>
      <c r="B13" s="5" t="s">
        <v>51</v>
      </c>
      <c r="C13" s="8">
        <v>1832</v>
      </c>
      <c r="D13" s="10">
        <v>8.716666666666667</v>
      </c>
      <c r="E13" s="9">
        <v>0.01255458515283843</v>
      </c>
    </row>
    <row r="14" spans="1:5">
      <c r="A14" s="5" t="s">
        <v>63</v>
      </c>
      <c r="B14" s="5" t="s">
        <v>57</v>
      </c>
      <c r="C14" s="8">
        <v>1792</v>
      </c>
      <c r="D14" s="10">
        <v>14.11666666666667</v>
      </c>
      <c r="E14" s="9">
        <v>0.10546875</v>
      </c>
    </row>
    <row r="15" spans="1:5">
      <c r="A15" s="5" t="s">
        <v>55</v>
      </c>
      <c r="B15" s="5" t="s">
        <v>203</v>
      </c>
      <c r="C15" s="8">
        <v>1682</v>
      </c>
      <c r="D15" s="10">
        <v>10.61666666666667</v>
      </c>
      <c r="E15" s="9">
        <v>0.1403091557669441</v>
      </c>
    </row>
    <row r="16" spans="1:5">
      <c r="A16" s="5" t="s">
        <v>51</v>
      </c>
      <c r="B16" s="5" t="s">
        <v>83</v>
      </c>
      <c r="C16" s="8">
        <v>1638</v>
      </c>
      <c r="D16" s="10">
        <v>8.316666666666666</v>
      </c>
      <c r="E16" s="9">
        <v>0.0463980463980464</v>
      </c>
    </row>
    <row r="17" spans="1:5">
      <c r="A17" s="5" t="s">
        <v>55</v>
      </c>
      <c r="B17" s="5" t="s">
        <v>61</v>
      </c>
      <c r="C17" s="8">
        <v>1622</v>
      </c>
      <c r="D17" s="10">
        <v>21.53333333333333</v>
      </c>
      <c r="E17" s="9">
        <v>0.3002466091245376</v>
      </c>
    </row>
    <row r="18" spans="1:5">
      <c r="A18" s="5" t="s">
        <v>203</v>
      </c>
      <c r="B18" s="5" t="s">
        <v>55</v>
      </c>
      <c r="C18" s="8">
        <v>1601</v>
      </c>
      <c r="D18" s="10">
        <v>10.86666666666667</v>
      </c>
      <c r="E18" s="9">
        <v>0.1286695815115553</v>
      </c>
    </row>
    <row r="19" spans="1:5">
      <c r="A19" s="5" t="s">
        <v>42</v>
      </c>
      <c r="B19" s="5" t="s">
        <v>57</v>
      </c>
      <c r="C19" s="8">
        <v>1578</v>
      </c>
      <c r="D19" s="10">
        <v>14.51666666666667</v>
      </c>
      <c r="E19" s="9">
        <v>0.1603295310519645</v>
      </c>
    </row>
    <row r="20" spans="1:5">
      <c r="A20" s="5" t="s">
        <v>44</v>
      </c>
      <c r="B20" s="5" t="s">
        <v>173</v>
      </c>
      <c r="C20" s="8">
        <v>1566</v>
      </c>
      <c r="D20" s="10">
        <v>8.633333333333333</v>
      </c>
      <c r="E20" s="9">
        <v>0.157088122605364</v>
      </c>
    </row>
    <row r="21" spans="1:5">
      <c r="A21" s="5" t="s">
        <v>173</v>
      </c>
      <c r="B21" s="5" t="s">
        <v>44</v>
      </c>
      <c r="C21" s="8">
        <v>1530</v>
      </c>
      <c r="D21" s="10">
        <v>9.699999999999999</v>
      </c>
      <c r="E21" s="9">
        <v>0.08888888888888889</v>
      </c>
    </row>
    <row r="22" spans="1:5">
      <c r="A22" s="5" t="s">
        <v>57</v>
      </c>
      <c r="B22" s="5" t="s">
        <v>107</v>
      </c>
      <c r="C22" s="8">
        <v>1527</v>
      </c>
      <c r="D22" s="10">
        <v>7.45</v>
      </c>
      <c r="E22" s="9">
        <v>0.068762278978389</v>
      </c>
    </row>
    <row r="23" spans="1:5">
      <c r="A23" s="5" t="s">
        <v>63</v>
      </c>
      <c r="B23" s="5" t="s">
        <v>65</v>
      </c>
      <c r="C23" s="8">
        <v>1506</v>
      </c>
      <c r="D23" s="10">
        <v>7.991666666666667</v>
      </c>
      <c r="E23" s="9">
        <v>0.1162018592297477</v>
      </c>
    </row>
    <row r="24" spans="1:5">
      <c r="A24" s="5" t="s">
        <v>65</v>
      </c>
      <c r="B24" s="5" t="s">
        <v>63</v>
      </c>
      <c r="C24" s="8">
        <v>1500</v>
      </c>
      <c r="D24" s="10">
        <v>7.533333333333333</v>
      </c>
      <c r="E24" s="9">
        <v>0.06066666666666667</v>
      </c>
    </row>
    <row r="25" spans="1:5">
      <c r="A25" s="5" t="s">
        <v>63</v>
      </c>
      <c r="B25" s="5" t="s">
        <v>77</v>
      </c>
      <c r="C25" s="8">
        <v>1490</v>
      </c>
      <c r="D25" s="10">
        <v>4.166666666666667</v>
      </c>
      <c r="E25" s="9">
        <v>0.09328859060402685</v>
      </c>
    </row>
    <row r="26" spans="1:5">
      <c r="A26" s="5" t="s">
        <v>153</v>
      </c>
      <c r="B26" s="5" t="s">
        <v>151</v>
      </c>
      <c r="C26" s="8">
        <v>1448</v>
      </c>
      <c r="D26" s="10">
        <v>9.816666666666666</v>
      </c>
      <c r="E26" s="9">
        <v>0.06560773480662983</v>
      </c>
    </row>
    <row r="27" spans="1:5">
      <c r="A27" s="5" t="s">
        <v>69</v>
      </c>
      <c r="B27" s="5" t="s">
        <v>51</v>
      </c>
      <c r="C27" s="8">
        <v>1382</v>
      </c>
      <c r="D27" s="10">
        <v>8.683333333333334</v>
      </c>
      <c r="E27" s="9">
        <v>0.0426917510853835</v>
      </c>
    </row>
    <row r="28" spans="1:5">
      <c r="A28" s="5" t="s">
        <v>55</v>
      </c>
      <c r="B28" s="5" t="s">
        <v>46</v>
      </c>
      <c r="C28" s="8">
        <v>1382</v>
      </c>
      <c r="D28" s="10">
        <v>11.9</v>
      </c>
      <c r="E28" s="9">
        <v>0.2662807525325615</v>
      </c>
    </row>
    <row r="29" spans="1:5">
      <c r="A29" s="5" t="s">
        <v>57</v>
      </c>
      <c r="B29" s="5" t="s">
        <v>179</v>
      </c>
      <c r="C29" s="8">
        <v>1347</v>
      </c>
      <c r="D29" s="10">
        <v>5.05</v>
      </c>
      <c r="E29" s="9">
        <v>0.09131403118040089</v>
      </c>
    </row>
    <row r="30" spans="1:5">
      <c r="A30" s="5" t="s">
        <v>57</v>
      </c>
      <c r="B30" s="5" t="s">
        <v>69</v>
      </c>
      <c r="C30" s="8">
        <v>1330</v>
      </c>
      <c r="D30" s="10">
        <v>11.71666666666667</v>
      </c>
      <c r="E30" s="9">
        <v>0.1428571428571428</v>
      </c>
    </row>
    <row r="31" spans="1:5">
      <c r="A31" s="5" t="s">
        <v>79</v>
      </c>
      <c r="B31" s="5" t="s">
        <v>46</v>
      </c>
      <c r="C31" s="8">
        <v>1315</v>
      </c>
      <c r="D31" s="10">
        <v>9.033333333333333</v>
      </c>
      <c r="E31" s="9">
        <v>0.1855513307984791</v>
      </c>
    </row>
    <row r="32" spans="1:5">
      <c r="A32" s="5" t="s">
        <v>42</v>
      </c>
      <c r="B32" s="5" t="s">
        <v>49</v>
      </c>
      <c r="C32" s="8">
        <v>1297</v>
      </c>
      <c r="D32" s="10">
        <v>14.85</v>
      </c>
      <c r="E32" s="9">
        <v>0.1750192752505783</v>
      </c>
    </row>
    <row r="33" spans="1:5">
      <c r="A33" s="5" t="s">
        <v>123</v>
      </c>
      <c r="B33" s="5" t="s">
        <v>57</v>
      </c>
      <c r="C33" s="8">
        <v>1289</v>
      </c>
      <c r="D33" s="10">
        <v>10.45</v>
      </c>
      <c r="E33" s="9">
        <v>0.09231962761830877</v>
      </c>
    </row>
    <row r="34" spans="1:5">
      <c r="A34" s="5" t="s">
        <v>179</v>
      </c>
      <c r="B34" s="5" t="s">
        <v>57</v>
      </c>
      <c r="C34" s="8">
        <v>1259</v>
      </c>
      <c r="D34" s="10">
        <v>5.8</v>
      </c>
      <c r="E34" s="9">
        <v>0.07307386814932486</v>
      </c>
    </row>
    <row r="35" spans="1:5">
      <c r="A35" s="5" t="s">
        <v>46</v>
      </c>
      <c r="B35" s="5" t="s">
        <v>79</v>
      </c>
      <c r="C35" s="8">
        <v>1242</v>
      </c>
      <c r="D35" s="10">
        <v>8.933333333333334</v>
      </c>
      <c r="E35" s="9">
        <v>0.1956521739130435</v>
      </c>
    </row>
    <row r="36" spans="1:5">
      <c r="A36" s="5" t="s">
        <v>53</v>
      </c>
      <c r="B36" s="5" t="s">
        <v>159</v>
      </c>
      <c r="C36" s="8">
        <v>1223</v>
      </c>
      <c r="D36" s="10">
        <v>5.483333333333333</v>
      </c>
      <c r="E36" s="9">
        <v>0.08340147179067865</v>
      </c>
    </row>
    <row r="37" spans="1:5">
      <c r="A37" s="5" t="s">
        <v>55</v>
      </c>
      <c r="B37" s="5" t="s">
        <v>119</v>
      </c>
      <c r="C37" s="8">
        <v>1207</v>
      </c>
      <c r="D37" s="10">
        <v>14.65</v>
      </c>
      <c r="E37" s="9">
        <v>0.2369511184755592</v>
      </c>
    </row>
    <row r="38" spans="1:5">
      <c r="A38" s="5" t="s">
        <v>113</v>
      </c>
      <c r="B38" s="5" t="s">
        <v>83</v>
      </c>
      <c r="C38" s="8">
        <v>1202</v>
      </c>
      <c r="D38" s="10">
        <v>5.433333333333334</v>
      </c>
      <c r="E38" s="9">
        <v>0.01663893510815308</v>
      </c>
    </row>
    <row r="39" spans="1:5">
      <c r="A39" s="5" t="s">
        <v>119</v>
      </c>
      <c r="B39" s="5" t="s">
        <v>55</v>
      </c>
      <c r="C39" s="8">
        <v>1184</v>
      </c>
      <c r="D39" s="10">
        <v>11.50833333333333</v>
      </c>
      <c r="E39" s="9">
        <v>0.2094594594594595</v>
      </c>
    </row>
    <row r="40" spans="1:5">
      <c r="A40" s="5" t="s">
        <v>81</v>
      </c>
      <c r="B40" s="5" t="s">
        <v>65</v>
      </c>
      <c r="C40" s="8">
        <v>1172</v>
      </c>
      <c r="D40" s="10">
        <v>5.8</v>
      </c>
      <c r="E40" s="9">
        <v>0.1689419795221843</v>
      </c>
    </row>
    <row r="41" spans="1:5">
      <c r="A41" s="5" t="s">
        <v>107</v>
      </c>
      <c r="B41" s="5" t="s">
        <v>57</v>
      </c>
      <c r="C41" s="8">
        <v>1168</v>
      </c>
      <c r="D41" s="10">
        <v>8.025</v>
      </c>
      <c r="E41" s="9">
        <v>0.136986301369863</v>
      </c>
    </row>
    <row r="42" spans="1:5">
      <c r="A42" s="5" t="s">
        <v>46</v>
      </c>
      <c r="B42" s="5" t="s">
        <v>55</v>
      </c>
      <c r="C42" s="8">
        <v>1159</v>
      </c>
      <c r="D42" s="10">
        <v>11.41666666666667</v>
      </c>
      <c r="E42" s="9">
        <v>0.2545297670405522</v>
      </c>
    </row>
    <row r="43" spans="1:5">
      <c r="A43" s="5" t="s">
        <v>69</v>
      </c>
      <c r="B43" s="5" t="s">
        <v>129</v>
      </c>
      <c r="C43" s="8">
        <v>1130</v>
      </c>
      <c r="D43" s="10">
        <v>6.25</v>
      </c>
      <c r="E43" s="9">
        <v>0.04336283185840708</v>
      </c>
    </row>
  </sheetData>
  <autoFilter ref="A3:E4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3" width="12.7109375" customWidth="1"/>
    <col min="4" max="4" width="16.7109375" customWidth="1"/>
    <col min="5" max="7" width="12.7109375" customWidth="1"/>
  </cols>
  <sheetData>
    <row r="1" spans="1:7">
      <c r="A1" s="3" t="s">
        <v>393</v>
      </c>
    </row>
    <row r="3" spans="1:7" ht="32" customHeight="1">
      <c r="A3" s="4" t="s">
        <v>394</v>
      </c>
      <c r="B3" s="4" t="s">
        <v>395</v>
      </c>
      <c r="C3" s="4" t="s">
        <v>354</v>
      </c>
      <c r="D3" s="4" t="s">
        <v>396</v>
      </c>
      <c r="E3" s="4" t="s">
        <v>36</v>
      </c>
      <c r="F3" s="4" t="s">
        <v>397</v>
      </c>
      <c r="G3" s="4" t="s">
        <v>398</v>
      </c>
    </row>
    <row r="4" spans="1:7">
      <c r="A4" s="5" t="s">
        <v>399</v>
      </c>
      <c r="B4" s="8">
        <v>63711</v>
      </c>
      <c r="C4" s="8">
        <v>63711</v>
      </c>
      <c r="D4" s="9">
        <v>0.4400025113402709</v>
      </c>
      <c r="E4" s="10">
        <v>29.5</v>
      </c>
      <c r="F4" s="9">
        <v>0.3895720339242147</v>
      </c>
      <c r="G4" s="9">
        <v>0.05000549416049228</v>
      </c>
    </row>
    <row r="5" spans="1:7">
      <c r="A5" s="5" t="s">
        <v>400</v>
      </c>
      <c r="B5" s="8">
        <v>61770</v>
      </c>
      <c r="C5" s="8">
        <v>177930</v>
      </c>
      <c r="D5" s="9">
        <v>0.3705747126436782</v>
      </c>
      <c r="E5" s="10">
        <v>25.05</v>
      </c>
      <c r="F5" s="9">
        <v>0.3777034505108811</v>
      </c>
      <c r="G5" s="9">
        <v>0.1396537109129725</v>
      </c>
    </row>
    <row r="6" spans="1:7">
      <c r="A6" s="5" t="s">
        <v>401</v>
      </c>
      <c r="B6" s="8">
        <v>25154</v>
      </c>
      <c r="C6" s="8">
        <v>259454</v>
      </c>
      <c r="D6" s="9">
        <v>0.2130045754433027</v>
      </c>
      <c r="E6" s="10">
        <v>17.62083333333333</v>
      </c>
      <c r="F6" s="9">
        <v>0.1538085250793379</v>
      </c>
      <c r="G6" s="9">
        <v>0.2036402737661685</v>
      </c>
    </row>
    <row r="7" spans="1:7">
      <c r="A7" s="5" t="s">
        <v>402</v>
      </c>
      <c r="B7" s="8">
        <v>11153</v>
      </c>
      <c r="C7" s="8">
        <v>474800</v>
      </c>
      <c r="D7" s="9">
        <v>0.1051669943497581</v>
      </c>
      <c r="E7" s="10">
        <v>13.06666666666667</v>
      </c>
      <c r="F7" s="9">
        <v>0.06819696589845971</v>
      </c>
      <c r="G7" s="9">
        <v>0.3726610573904308</v>
      </c>
    </row>
    <row r="8" spans="1:7">
      <c r="A8" s="5" t="s">
        <v>403</v>
      </c>
      <c r="B8" s="8">
        <v>1753</v>
      </c>
      <c r="C8" s="8">
        <v>298185</v>
      </c>
      <c r="D8" s="9">
        <v>0.07280723643653364</v>
      </c>
      <c r="E8" s="10">
        <v>11.21666666666667</v>
      </c>
      <c r="F8" s="9">
        <v>0.0107190245871066</v>
      </c>
      <c r="G8" s="9">
        <v>0.234039463769936</v>
      </c>
    </row>
  </sheetData>
  <autoFilter ref="A3:G8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6.7109375" customWidth="1"/>
    <col min="2" max="3" width="12.7109375" customWidth="1"/>
    <col min="4" max="5" width="14.7109375" customWidth="1"/>
  </cols>
  <sheetData>
    <row r="1" spans="1:5">
      <c r="A1" s="3" t="s">
        <v>404</v>
      </c>
    </row>
    <row r="3" spans="1:5" ht="32" customHeight="1">
      <c r="A3" s="4" t="s">
        <v>405</v>
      </c>
      <c r="B3" s="4" t="s">
        <v>354</v>
      </c>
      <c r="C3" s="4" t="s">
        <v>36</v>
      </c>
      <c r="D3" s="4" t="s">
        <v>35</v>
      </c>
      <c r="E3" s="4" t="s">
        <v>34</v>
      </c>
    </row>
    <row r="4" spans="1:5">
      <c r="A4" s="5" t="s">
        <v>406</v>
      </c>
      <c r="B4" s="8">
        <v>394019</v>
      </c>
      <c r="C4" s="10">
        <v>16.36666666666667</v>
      </c>
      <c r="D4" s="9">
        <v>0.121760625756626</v>
      </c>
      <c r="E4" s="9">
        <v>0.1970767907131382</v>
      </c>
    </row>
    <row r="5" spans="1:5">
      <c r="A5" s="5" t="s">
        <v>407</v>
      </c>
      <c r="B5" s="8">
        <v>770541</v>
      </c>
      <c r="C5" s="10">
        <v>13.21666666666667</v>
      </c>
      <c r="D5" s="9">
        <v>0.0817308877788463</v>
      </c>
      <c r="E5" s="9">
        <v>0.1454653289052756</v>
      </c>
    </row>
    <row r="6" spans="1:5">
      <c r="A6" s="5" t="s">
        <v>408</v>
      </c>
      <c r="B6" s="8">
        <v>104802</v>
      </c>
      <c r="C6" s="10">
        <v>16.31666666666667</v>
      </c>
      <c r="D6" s="9">
        <v>0.08079998473311578</v>
      </c>
      <c r="E6" s="9">
        <v>0.2061124787694891</v>
      </c>
    </row>
    <row r="7" spans="1:5">
      <c r="A7" s="5" t="s">
        <v>409</v>
      </c>
      <c r="B7" s="8">
        <v>916428</v>
      </c>
      <c r="C7" s="10">
        <v>14.38333333333333</v>
      </c>
      <c r="D7" s="9">
        <v>0.09589951420078828</v>
      </c>
      <c r="E7" s="9">
        <v>0.1683220067479387</v>
      </c>
    </row>
    <row r="8" spans="1:5">
      <c r="A8" s="5" t="s">
        <v>410</v>
      </c>
      <c r="B8" s="8">
        <v>357652</v>
      </c>
      <c r="C8" s="10">
        <v>14.08333333333333</v>
      </c>
      <c r="D8" s="9">
        <v>0.08887410108149822</v>
      </c>
      <c r="E8" s="9">
        <v>0.1612349434645969</v>
      </c>
    </row>
  </sheetData>
  <autoFilter ref="A3:E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Resumen</vt:lpstr>
      <vt:lpstr>Estaciones</vt:lpstr>
      <vt:lpstr>Horario x dia</vt:lpstr>
      <vt:lpstr>Finde vs semana</vt:lpstr>
      <vt:lpstr>Franjas</vt:lpstr>
      <vt:lpstr>Dias</vt:lpstr>
      <vt:lpstr>Meses</vt:lpstr>
      <vt:lpstr>Comunas</vt:lpstr>
      <vt:lpstr>Flujo entre comunas</vt:lpstr>
      <vt:lpstr>Corredores</vt:lpstr>
      <vt:lpstr>Usuarios</vt:lpstr>
      <vt:lpstr>Genero y bici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2026-10-27T13:12:38Z</dcterms:created>
  <dcterms:modified xsi:type="dcterms:W3CDTF">2026-10-27T13:12:38Z</dcterms:modified>
</cp:coreProperties>
</file>